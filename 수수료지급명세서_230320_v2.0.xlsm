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oowahan\Desktop\혜진\"/>
    </mc:Choice>
  </mc:AlternateContent>
  <xr:revisionPtr revIDLastSave="0" documentId="8_{F7E3081A-85D2-4322-BE18-9E91346869FB}" xr6:coauthVersionLast="47" xr6:coauthVersionMax="47" xr10:uidLastSave="{00000000-0000-0000-0000-000000000000}"/>
  <bookViews>
    <workbookView xWindow="7340" yWindow="4150" windowWidth="28800" windowHeight="15370" activeTab="1" xr2:uid="{00000000-000D-0000-FFFF-FFFF00000000}"/>
  </bookViews>
  <sheets>
    <sheet name="저장용" sheetId="2" r:id="rId1"/>
    <sheet name="요청" sheetId="5" r:id="rId2"/>
  </sheets>
  <definedNames>
    <definedName name="_xlnm.Print_Area" localSheetId="0">저장용!$A$1:$S$22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5" l="1"/>
  <c r="L9" i="5"/>
  <c r="L8" i="5"/>
  <c r="L7" i="5"/>
  <c r="L6" i="5"/>
  <c r="L5" i="5"/>
  <c r="L4" i="5"/>
  <c r="L3" i="5"/>
  <c r="L2" i="5"/>
  <c r="L11" i="5"/>
  <c r="L12" i="5"/>
  <c r="L13" i="5"/>
  <c r="L14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Q2" i="5"/>
  <c r="R2" i="5" s="1"/>
  <c r="N13" i="5"/>
  <c r="O10" i="5"/>
  <c r="P10" i="5" s="1"/>
  <c r="Q8" i="5"/>
  <c r="R8" i="5" s="1"/>
  <c r="Q4" i="5"/>
  <c r="R4" i="5" s="1"/>
  <c r="O12" i="5"/>
  <c r="P12" i="5" s="1"/>
  <c r="N11" i="5"/>
  <c r="N9" i="5"/>
  <c r="O6" i="5"/>
  <c r="P6" i="5" s="1"/>
  <c r="Q5" i="5"/>
  <c r="R5" i="5" s="1"/>
  <c r="Q6" i="5"/>
  <c r="R6" i="5" s="1"/>
  <c r="N3" i="5"/>
  <c r="N7" i="5"/>
  <c r="N6" i="5"/>
  <c r="Q7" i="5"/>
  <c r="R7" i="5" s="1"/>
  <c r="Q9" i="5"/>
  <c r="R9" i="5" s="1"/>
  <c r="N10" i="5"/>
  <c r="O11" i="5"/>
  <c r="P11" i="5" s="1"/>
  <c r="N12" i="5"/>
  <c r="O13" i="5"/>
  <c r="P13" i="5" s="1"/>
  <c r="Q13" i="5"/>
  <c r="R13" i="5" s="1"/>
  <c r="N14" i="5"/>
  <c r="O14" i="5"/>
  <c r="P14" i="5" s="1"/>
  <c r="Q14" i="5"/>
  <c r="R14" i="5" s="1"/>
  <c r="N93" i="5"/>
  <c r="O93" i="5"/>
  <c r="P93" i="5" s="1"/>
  <c r="Q93" i="5"/>
  <c r="R93" i="5" s="1"/>
  <c r="N94" i="5"/>
  <c r="O94" i="5"/>
  <c r="P94" i="5" s="1"/>
  <c r="Q94" i="5"/>
  <c r="R94" i="5" s="1"/>
  <c r="N95" i="5"/>
  <c r="O95" i="5"/>
  <c r="P95" i="5" s="1"/>
  <c r="Q95" i="5"/>
  <c r="R95" i="5" s="1"/>
  <c r="N96" i="5"/>
  <c r="O96" i="5"/>
  <c r="P96" i="5" s="1"/>
  <c r="Q96" i="5"/>
  <c r="R96" i="5" s="1"/>
  <c r="N97" i="5"/>
  <c r="O97" i="5"/>
  <c r="P97" i="5" s="1"/>
  <c r="Q97" i="5"/>
  <c r="R97" i="5" s="1"/>
  <c r="N190" i="5"/>
  <c r="N187" i="5"/>
  <c r="N185" i="5"/>
  <c r="N183" i="5"/>
  <c r="N182" i="5"/>
  <c r="N179" i="5"/>
  <c r="N177" i="5"/>
  <c r="N175" i="5"/>
  <c r="N174" i="5"/>
  <c r="N171" i="5"/>
  <c r="N169" i="5"/>
  <c r="N167" i="5"/>
  <c r="N166" i="5"/>
  <c r="N163" i="5"/>
  <c r="N161" i="5"/>
  <c r="N159" i="5"/>
  <c r="N158" i="5"/>
  <c r="N155" i="5"/>
  <c r="N153" i="5"/>
  <c r="N151" i="5"/>
  <c r="N150" i="5"/>
  <c r="N147" i="5"/>
  <c r="N145" i="5"/>
  <c r="N143" i="5"/>
  <c r="N142" i="5"/>
  <c r="N139" i="5"/>
  <c r="N137" i="5"/>
  <c r="N135" i="5"/>
  <c r="N134" i="5"/>
  <c r="N131" i="5"/>
  <c r="N129" i="5"/>
  <c r="N127" i="5"/>
  <c r="N126" i="5"/>
  <c r="N123" i="5"/>
  <c r="N121" i="5"/>
  <c r="N119" i="5"/>
  <c r="N118" i="5"/>
  <c r="N115" i="5"/>
  <c r="N113" i="5"/>
  <c r="N111" i="5"/>
  <c r="N110" i="5"/>
  <c r="N109" i="5"/>
  <c r="O109" i="5"/>
  <c r="P109" i="5" s="1"/>
  <c r="Q109" i="5"/>
  <c r="R109" i="5" s="1"/>
  <c r="Q110" i="5"/>
  <c r="R110" i="5" s="1"/>
  <c r="Q111" i="5"/>
  <c r="R111" i="5" s="1"/>
  <c r="N112" i="5"/>
  <c r="O112" i="5"/>
  <c r="P112" i="5" s="1"/>
  <c r="Q112" i="5"/>
  <c r="R112" i="5" s="1"/>
  <c r="Q113" i="5"/>
  <c r="R113" i="5" s="1"/>
  <c r="N114" i="5"/>
  <c r="O114" i="5"/>
  <c r="P114" i="5" s="1"/>
  <c r="Q114" i="5"/>
  <c r="R114" i="5" s="1"/>
  <c r="O115" i="5"/>
  <c r="P115" i="5" s="1"/>
  <c r="Q115" i="5"/>
  <c r="R115" i="5" s="1"/>
  <c r="N116" i="5"/>
  <c r="O116" i="5"/>
  <c r="P116" i="5" s="1"/>
  <c r="Q116" i="5"/>
  <c r="R116" i="5" s="1"/>
  <c r="N117" i="5"/>
  <c r="O117" i="5"/>
  <c r="P117" i="5" s="1"/>
  <c r="Q117" i="5"/>
  <c r="R117" i="5" s="1"/>
  <c r="O118" i="5"/>
  <c r="P118" i="5" s="1"/>
  <c r="Q118" i="5"/>
  <c r="R118" i="5" s="1"/>
  <c r="O119" i="5"/>
  <c r="P119" i="5" s="1"/>
  <c r="Q119" i="5"/>
  <c r="R119" i="5" s="1"/>
  <c r="N120" i="5"/>
  <c r="O120" i="5"/>
  <c r="P120" i="5" s="1"/>
  <c r="Q120" i="5"/>
  <c r="R120" i="5" s="1"/>
  <c r="O121" i="5"/>
  <c r="P121" i="5" s="1"/>
  <c r="Q121" i="5"/>
  <c r="R121" i="5" s="1"/>
  <c r="N122" i="5"/>
  <c r="O122" i="5"/>
  <c r="P122" i="5" s="1"/>
  <c r="Q122" i="5"/>
  <c r="R122" i="5" s="1"/>
  <c r="O123" i="5"/>
  <c r="P123" i="5" s="1"/>
  <c r="Q123" i="5"/>
  <c r="R123" i="5" s="1"/>
  <c r="N124" i="5"/>
  <c r="O124" i="5"/>
  <c r="P124" i="5" s="1"/>
  <c r="Q124" i="5"/>
  <c r="R124" i="5" s="1"/>
  <c r="N125" i="5"/>
  <c r="O125" i="5"/>
  <c r="P125" i="5" s="1"/>
  <c r="Q125" i="5"/>
  <c r="R125" i="5" s="1"/>
  <c r="O126" i="5"/>
  <c r="P126" i="5" s="1"/>
  <c r="Q126" i="5"/>
  <c r="R126" i="5" s="1"/>
  <c r="O127" i="5"/>
  <c r="P127" i="5" s="1"/>
  <c r="Q127" i="5"/>
  <c r="R127" i="5" s="1"/>
  <c r="N128" i="5"/>
  <c r="O128" i="5"/>
  <c r="P128" i="5" s="1"/>
  <c r="Q128" i="5"/>
  <c r="R128" i="5" s="1"/>
  <c r="O129" i="5"/>
  <c r="P129" i="5" s="1"/>
  <c r="Q129" i="5"/>
  <c r="R129" i="5" s="1"/>
  <c r="N130" i="5"/>
  <c r="O130" i="5"/>
  <c r="P130" i="5" s="1"/>
  <c r="Q130" i="5"/>
  <c r="R130" i="5" s="1"/>
  <c r="O131" i="5"/>
  <c r="P131" i="5" s="1"/>
  <c r="Q131" i="5"/>
  <c r="R131" i="5" s="1"/>
  <c r="N132" i="5"/>
  <c r="O132" i="5"/>
  <c r="P132" i="5" s="1"/>
  <c r="Q132" i="5"/>
  <c r="R132" i="5" s="1"/>
  <c r="N133" i="5"/>
  <c r="O133" i="5"/>
  <c r="P133" i="5" s="1"/>
  <c r="Q133" i="5"/>
  <c r="R133" i="5" s="1"/>
  <c r="O134" i="5"/>
  <c r="P134" i="5" s="1"/>
  <c r="Q134" i="5"/>
  <c r="R134" i="5" s="1"/>
  <c r="O135" i="5"/>
  <c r="P135" i="5" s="1"/>
  <c r="Q135" i="5"/>
  <c r="R135" i="5" s="1"/>
  <c r="N136" i="5"/>
  <c r="O136" i="5"/>
  <c r="P136" i="5" s="1"/>
  <c r="Q136" i="5"/>
  <c r="R136" i="5" s="1"/>
  <c r="O137" i="5"/>
  <c r="P137" i="5" s="1"/>
  <c r="Q137" i="5"/>
  <c r="R137" i="5" s="1"/>
  <c r="N138" i="5"/>
  <c r="O138" i="5"/>
  <c r="P138" i="5" s="1"/>
  <c r="Q138" i="5"/>
  <c r="R138" i="5" s="1"/>
  <c r="O139" i="5"/>
  <c r="P139" i="5" s="1"/>
  <c r="Q139" i="5"/>
  <c r="R139" i="5" s="1"/>
  <c r="N140" i="5"/>
  <c r="O140" i="5"/>
  <c r="P140" i="5" s="1"/>
  <c r="Q140" i="5"/>
  <c r="R140" i="5" s="1"/>
  <c r="N141" i="5"/>
  <c r="O141" i="5"/>
  <c r="P141" i="5" s="1"/>
  <c r="Q141" i="5"/>
  <c r="R141" i="5" s="1"/>
  <c r="O142" i="5"/>
  <c r="P142" i="5" s="1"/>
  <c r="Q142" i="5"/>
  <c r="R142" i="5" s="1"/>
  <c r="O143" i="5"/>
  <c r="P143" i="5" s="1"/>
  <c r="Q143" i="5"/>
  <c r="R143" i="5" s="1"/>
  <c r="N144" i="5"/>
  <c r="O144" i="5"/>
  <c r="P144" i="5" s="1"/>
  <c r="Q144" i="5"/>
  <c r="R144" i="5" s="1"/>
  <c r="O145" i="5"/>
  <c r="P145" i="5" s="1"/>
  <c r="Q145" i="5"/>
  <c r="R145" i="5" s="1"/>
  <c r="N146" i="5"/>
  <c r="O146" i="5"/>
  <c r="P146" i="5" s="1"/>
  <c r="Q146" i="5"/>
  <c r="R146" i="5" s="1"/>
  <c r="O147" i="5"/>
  <c r="P147" i="5" s="1"/>
  <c r="Q147" i="5"/>
  <c r="R147" i="5" s="1"/>
  <c r="N148" i="5"/>
  <c r="O148" i="5"/>
  <c r="P148" i="5" s="1"/>
  <c r="Q148" i="5"/>
  <c r="R148" i="5" s="1"/>
  <c r="N149" i="5"/>
  <c r="O149" i="5"/>
  <c r="P149" i="5" s="1"/>
  <c r="Q149" i="5"/>
  <c r="R149" i="5" s="1"/>
  <c r="O150" i="5"/>
  <c r="P150" i="5" s="1"/>
  <c r="Q150" i="5"/>
  <c r="R150" i="5" s="1"/>
  <c r="O151" i="5"/>
  <c r="P151" i="5" s="1"/>
  <c r="Q151" i="5"/>
  <c r="R151" i="5" s="1"/>
  <c r="N152" i="5"/>
  <c r="O152" i="5"/>
  <c r="P152" i="5" s="1"/>
  <c r="Q152" i="5"/>
  <c r="R152" i="5" s="1"/>
  <c r="O153" i="5"/>
  <c r="P153" i="5" s="1"/>
  <c r="Q153" i="5"/>
  <c r="R153" i="5" s="1"/>
  <c r="N154" i="5"/>
  <c r="O154" i="5"/>
  <c r="P154" i="5" s="1"/>
  <c r="Q154" i="5"/>
  <c r="R154" i="5" s="1"/>
  <c r="O155" i="5"/>
  <c r="P155" i="5" s="1"/>
  <c r="Q155" i="5"/>
  <c r="R155" i="5" s="1"/>
  <c r="N156" i="5"/>
  <c r="O156" i="5"/>
  <c r="P156" i="5" s="1"/>
  <c r="Q156" i="5"/>
  <c r="R156" i="5" s="1"/>
  <c r="N157" i="5"/>
  <c r="O157" i="5"/>
  <c r="P157" i="5" s="1"/>
  <c r="Q157" i="5"/>
  <c r="R157" i="5" s="1"/>
  <c r="O158" i="5"/>
  <c r="P158" i="5" s="1"/>
  <c r="Q158" i="5"/>
  <c r="R158" i="5" s="1"/>
  <c r="O159" i="5"/>
  <c r="P159" i="5" s="1"/>
  <c r="Q159" i="5"/>
  <c r="R159" i="5" s="1"/>
  <c r="N160" i="5"/>
  <c r="O160" i="5"/>
  <c r="P160" i="5" s="1"/>
  <c r="Q160" i="5"/>
  <c r="R160" i="5" s="1"/>
  <c r="O161" i="5"/>
  <c r="P161" i="5" s="1"/>
  <c r="Q161" i="5"/>
  <c r="R161" i="5" s="1"/>
  <c r="N162" i="5"/>
  <c r="O162" i="5"/>
  <c r="P162" i="5" s="1"/>
  <c r="Q162" i="5"/>
  <c r="R162" i="5" s="1"/>
  <c r="O163" i="5"/>
  <c r="P163" i="5" s="1"/>
  <c r="Q163" i="5"/>
  <c r="R163" i="5" s="1"/>
  <c r="N164" i="5"/>
  <c r="O164" i="5"/>
  <c r="P164" i="5" s="1"/>
  <c r="Q164" i="5"/>
  <c r="R164" i="5" s="1"/>
  <c r="N165" i="5"/>
  <c r="O165" i="5"/>
  <c r="P165" i="5" s="1"/>
  <c r="Q165" i="5"/>
  <c r="R165" i="5" s="1"/>
  <c r="O166" i="5"/>
  <c r="P166" i="5" s="1"/>
  <c r="Q166" i="5"/>
  <c r="R166" i="5" s="1"/>
  <c r="O167" i="5"/>
  <c r="P167" i="5" s="1"/>
  <c r="Q167" i="5"/>
  <c r="R167" i="5" s="1"/>
  <c r="N168" i="5"/>
  <c r="O168" i="5"/>
  <c r="P168" i="5" s="1"/>
  <c r="Q168" i="5"/>
  <c r="R168" i="5" s="1"/>
  <c r="O169" i="5"/>
  <c r="P169" i="5" s="1"/>
  <c r="Q169" i="5"/>
  <c r="R169" i="5" s="1"/>
  <c r="N170" i="5"/>
  <c r="O170" i="5"/>
  <c r="P170" i="5" s="1"/>
  <c r="Q170" i="5"/>
  <c r="R170" i="5" s="1"/>
  <c r="O171" i="5"/>
  <c r="P171" i="5" s="1"/>
  <c r="Q171" i="5"/>
  <c r="R171" i="5" s="1"/>
  <c r="N172" i="5"/>
  <c r="O172" i="5"/>
  <c r="P172" i="5" s="1"/>
  <c r="Q172" i="5"/>
  <c r="R172" i="5" s="1"/>
  <c r="N173" i="5"/>
  <c r="O173" i="5"/>
  <c r="P173" i="5" s="1"/>
  <c r="Q173" i="5"/>
  <c r="R173" i="5" s="1"/>
  <c r="O174" i="5"/>
  <c r="P174" i="5" s="1"/>
  <c r="Q174" i="5"/>
  <c r="R174" i="5" s="1"/>
  <c r="O175" i="5"/>
  <c r="P175" i="5" s="1"/>
  <c r="Q175" i="5"/>
  <c r="R175" i="5" s="1"/>
  <c r="N176" i="5"/>
  <c r="O176" i="5"/>
  <c r="P176" i="5" s="1"/>
  <c r="Q176" i="5"/>
  <c r="R176" i="5" s="1"/>
  <c r="O177" i="5"/>
  <c r="P177" i="5" s="1"/>
  <c r="Q177" i="5"/>
  <c r="R177" i="5" s="1"/>
  <c r="N178" i="5"/>
  <c r="O178" i="5"/>
  <c r="P178" i="5" s="1"/>
  <c r="Q178" i="5"/>
  <c r="R178" i="5" s="1"/>
  <c r="O179" i="5"/>
  <c r="P179" i="5" s="1"/>
  <c r="Q179" i="5"/>
  <c r="R179" i="5" s="1"/>
  <c r="N180" i="5"/>
  <c r="O180" i="5"/>
  <c r="P180" i="5" s="1"/>
  <c r="Q180" i="5"/>
  <c r="R180" i="5" s="1"/>
  <c r="N181" i="5"/>
  <c r="O181" i="5"/>
  <c r="P181" i="5" s="1"/>
  <c r="Q181" i="5"/>
  <c r="R181" i="5" s="1"/>
  <c r="O182" i="5"/>
  <c r="P182" i="5" s="1"/>
  <c r="Q182" i="5"/>
  <c r="R182" i="5" s="1"/>
  <c r="O183" i="5"/>
  <c r="P183" i="5" s="1"/>
  <c r="Q183" i="5"/>
  <c r="R183" i="5" s="1"/>
  <c r="N184" i="5"/>
  <c r="O184" i="5"/>
  <c r="P184" i="5" s="1"/>
  <c r="Q184" i="5"/>
  <c r="R184" i="5" s="1"/>
  <c r="O185" i="5"/>
  <c r="P185" i="5" s="1"/>
  <c r="Q185" i="5"/>
  <c r="R185" i="5" s="1"/>
  <c r="N186" i="5"/>
  <c r="O186" i="5"/>
  <c r="P186" i="5" s="1"/>
  <c r="Q186" i="5"/>
  <c r="R186" i="5" s="1"/>
  <c r="O187" i="5"/>
  <c r="P187" i="5" s="1"/>
  <c r="Q187" i="5"/>
  <c r="R187" i="5" s="1"/>
  <c r="N188" i="5"/>
  <c r="O188" i="5"/>
  <c r="P188" i="5" s="1"/>
  <c r="Q188" i="5"/>
  <c r="R188" i="5" s="1"/>
  <c r="N189" i="5"/>
  <c r="O189" i="5"/>
  <c r="P189" i="5" s="1"/>
  <c r="Q189" i="5"/>
  <c r="R189" i="5" s="1"/>
  <c r="O190" i="5"/>
  <c r="P190" i="5" s="1"/>
  <c r="Q190" i="5"/>
  <c r="R190" i="5" s="1"/>
  <c r="N8" i="5" l="1"/>
  <c r="Q11" i="5"/>
  <c r="R11" i="5" s="1"/>
  <c r="O9" i="5"/>
  <c r="P9" i="5" s="1"/>
  <c r="N4" i="5"/>
  <c r="O5" i="5"/>
  <c r="P5" i="5" s="1"/>
  <c r="Q12" i="5"/>
  <c r="R12" i="5" s="1"/>
  <c r="Q10" i="5"/>
  <c r="R10" i="5" s="1"/>
  <c r="N5" i="5"/>
  <c r="O4" i="5"/>
  <c r="P4" i="5" s="1"/>
  <c r="Q3" i="5"/>
  <c r="R3" i="5" s="1"/>
  <c r="N2" i="5"/>
  <c r="O3" i="5"/>
  <c r="P3" i="5" s="1"/>
  <c r="O2" i="5"/>
  <c r="P2" i="5" s="1"/>
  <c r="O8" i="5"/>
  <c r="P8" i="5" s="1"/>
  <c r="O7" i="5"/>
  <c r="P7" i="5" s="1"/>
  <c r="O110" i="5"/>
  <c r="P110" i="5" s="1"/>
  <c r="O113" i="5"/>
  <c r="P113" i="5" s="1"/>
  <c r="O111" i="5"/>
  <c r="P111" i="5" s="1"/>
  <c r="Q108" i="5"/>
  <c r="R108" i="5" s="1"/>
  <c r="O108" i="5"/>
  <c r="P108" i="5" s="1"/>
  <c r="Q107" i="5"/>
  <c r="R107" i="5" s="1"/>
  <c r="O107" i="5"/>
  <c r="P107" i="5" s="1"/>
  <c r="Q106" i="5"/>
  <c r="R106" i="5" s="1"/>
  <c r="O106" i="5"/>
  <c r="P106" i="5" s="1"/>
  <c r="Q105" i="5"/>
  <c r="R105" i="5" s="1"/>
  <c r="O105" i="5"/>
  <c r="P105" i="5" s="1"/>
  <c r="Q104" i="5"/>
  <c r="R104" i="5" s="1"/>
  <c r="O104" i="5"/>
  <c r="P104" i="5" s="1"/>
  <c r="Q103" i="5"/>
  <c r="R103" i="5" s="1"/>
  <c r="O103" i="5"/>
  <c r="P103" i="5" s="1"/>
  <c r="Q102" i="5"/>
  <c r="R102" i="5" s="1"/>
  <c r="O102" i="5"/>
  <c r="P102" i="5" s="1"/>
  <c r="Q101" i="5"/>
  <c r="R101" i="5" s="1"/>
  <c r="O101" i="5"/>
  <c r="P101" i="5" s="1"/>
  <c r="Q100" i="5"/>
  <c r="R100" i="5" s="1"/>
  <c r="O100" i="5"/>
  <c r="P100" i="5" s="1"/>
  <c r="Q99" i="5"/>
  <c r="R99" i="5" s="1"/>
  <c r="O99" i="5"/>
  <c r="P99" i="5" s="1"/>
  <c r="Q98" i="5"/>
  <c r="R98" i="5" s="1"/>
  <c r="O98" i="5"/>
  <c r="P98" i="5" s="1"/>
  <c r="N104" i="5" l="1"/>
  <c r="N102" i="5"/>
  <c r="N99" i="5"/>
  <c r="N100" i="5"/>
  <c r="N101" i="5"/>
  <c r="N103" i="5"/>
  <c r="N105" i="5"/>
  <c r="N106" i="5"/>
  <c r="N107" i="5"/>
  <c r="N108" i="5"/>
  <c r="N98" i="5"/>
  <c r="B16" i="2" l="1"/>
</calcChain>
</file>

<file path=xl/sharedStrings.xml><?xml version="1.0" encoding="utf-8"?>
<sst xmlns="http://schemas.openxmlformats.org/spreadsheetml/2006/main" count="112" uniqueCount="94">
  <si>
    <t>성명</t>
  </si>
  <si>
    <t>수수료발생내역</t>
  </si>
  <si>
    <t>공제내역</t>
  </si>
  <si>
    <t>지급</t>
  </si>
  <si>
    <t>배달건수(건)</t>
  </si>
  <si>
    <t>공제합계</t>
  </si>
  <si>
    <t>실지급액</t>
  </si>
  <si>
    <t>주소</t>
    <phoneticPr fontId="3" type="noConversion"/>
  </si>
  <si>
    <t>합계</t>
    <phoneticPr fontId="3" type="noConversion"/>
  </si>
  <si>
    <t>위와 같이 지급합니다.</t>
    <phoneticPr fontId="3" type="noConversion"/>
  </si>
  <si>
    <t>생년월일</t>
    <phoneticPr fontId="3" type="noConversion"/>
  </si>
  <si>
    <t>프로모션
합계</t>
    <phoneticPr fontId="3" type="noConversion"/>
  </si>
  <si>
    <t>구분</t>
    <phoneticPr fontId="3" type="noConversion"/>
  </si>
  <si>
    <t>정산대상기간</t>
    <phoneticPr fontId="3" type="noConversion"/>
  </si>
  <si>
    <t xml:space="preserve">주요 수수료발생 내역 </t>
    <phoneticPr fontId="3" type="noConversion"/>
  </si>
  <si>
    <t>(단위: 원)</t>
    <phoneticPr fontId="3" type="noConversion"/>
  </si>
  <si>
    <t>인적사항</t>
    <phoneticPr fontId="3" type="noConversion"/>
  </si>
  <si>
    <t xml:space="preserve">수수료지급 명세서 </t>
    <phoneticPr fontId="3" type="noConversion"/>
  </si>
  <si>
    <t>전화번호</t>
    <phoneticPr fontId="3" type="noConversion"/>
  </si>
  <si>
    <t>산재보험료</t>
    <phoneticPr fontId="3" type="noConversion"/>
  </si>
  <si>
    <t>건당수수료</t>
    <phoneticPr fontId="3" type="noConversion"/>
  </si>
  <si>
    <t>바이크렌탈료</t>
    <phoneticPr fontId="3" type="noConversion"/>
  </si>
  <si>
    <t>과태료</t>
    <phoneticPr fontId="3" type="noConversion"/>
  </si>
  <si>
    <t>소득세</t>
    <phoneticPr fontId="3" type="noConversion"/>
  </si>
  <si>
    <t>주민세</t>
    <phoneticPr fontId="3" type="noConversion"/>
  </si>
  <si>
    <t>수수료지급명세서는 고객 편의를 위해 제공되는 것으로 참고용으로만 사용될 수 있습니다.</t>
    <phoneticPr fontId="3" type="noConversion"/>
  </si>
  <si>
    <t>지급일자</t>
    <phoneticPr fontId="3" type="noConversion"/>
  </si>
  <si>
    <t>휴대폰번호</t>
  </si>
  <si>
    <t>증명서종류</t>
  </si>
  <si>
    <t>주소</t>
  </si>
  <si>
    <t>생년월일</t>
  </si>
  <si>
    <t>아이디 검수</t>
    <phoneticPr fontId="3" type="noConversion"/>
  </si>
  <si>
    <t>이름검수</t>
    <phoneticPr fontId="3" type="noConversion"/>
  </si>
  <si>
    <t>고용보험료</t>
    <phoneticPr fontId="3" type="noConversion"/>
  </si>
  <si>
    <t>시작기간</t>
    <phoneticPr fontId="3" type="noConversion"/>
  </si>
  <si>
    <t>종료기간</t>
    <phoneticPr fontId="3" type="noConversion"/>
  </si>
  <si>
    <t>전체기간</t>
    <phoneticPr fontId="3" type="noConversion"/>
  </si>
  <si>
    <t>라이더코드</t>
    <phoneticPr fontId="3" type="noConversion"/>
  </si>
  <si>
    <t xml:space="preserve">BROS ID </t>
    <phoneticPr fontId="3" type="noConversion"/>
  </si>
  <si>
    <t>이름</t>
    <phoneticPr fontId="3" type="noConversion"/>
  </si>
  <si>
    <t>번호수정
(맨앞 0추가)</t>
    <phoneticPr fontId="3" type="noConversion"/>
  </si>
  <si>
    <r>
      <t xml:space="preserve">★
</t>
    </r>
    <r>
      <rPr>
        <b/>
        <sz val="11"/>
        <rFont val="맑은 고딕"/>
        <family val="3"/>
        <charset val="129"/>
      </rPr>
      <t>번호 값복사</t>
    </r>
    <phoneticPr fontId="3" type="noConversion"/>
  </si>
  <si>
    <t>배달료</t>
    <phoneticPr fontId="3" type="noConversion"/>
  </si>
  <si>
    <t>배민안전교육비</t>
  </si>
  <si>
    <t>지급성합계</t>
    <phoneticPr fontId="3" type="noConversion"/>
  </si>
  <si>
    <t>요청일자</t>
    <phoneticPr fontId="3" type="noConversion"/>
  </si>
  <si>
    <t>유상운송보험료
(운전자보험료)</t>
    <phoneticPr fontId="3" type="noConversion"/>
  </si>
  <si>
    <t>수수료지급명세서</t>
  </si>
  <si>
    <t>2024-08-01</t>
  </si>
  <si>
    <t>나우진</t>
  </si>
  <si>
    <t>01076803600</t>
  </si>
  <si>
    <t>winggosky</t>
  </si>
  <si>
    <t>CR00495559</t>
  </si>
  <si>
    <t>서울 중구 청구로64 이편한세상 115동 502호</t>
  </si>
  <si>
    <t>허준석</t>
  </si>
  <si>
    <t>01052992045</t>
  </si>
  <si>
    <t>barrier85</t>
  </si>
  <si>
    <t>CR00764932</t>
  </si>
  <si>
    <t>안성시 공도읍 도화길10</t>
  </si>
  <si>
    <t>최상호</t>
  </si>
  <si>
    <t>01058821257</t>
  </si>
  <si>
    <t>csho83</t>
  </si>
  <si>
    <t>CR00473943</t>
  </si>
  <si>
    <t>광주광역시 소촌동869 대성베르힐103동1302호</t>
  </si>
  <si>
    <t>이원영</t>
  </si>
  <si>
    <t>01043253210</t>
  </si>
  <si>
    <t>hide0308</t>
  </si>
  <si>
    <t>CR00012636</t>
  </si>
  <si>
    <t>대전시 유성구 도안대로560, 110동 1908호</t>
  </si>
  <si>
    <t>박준영</t>
  </si>
  <si>
    <t>01077462448</t>
  </si>
  <si>
    <t>soung315</t>
  </si>
  <si>
    <t>CR00218773</t>
  </si>
  <si>
    <t>경기 부천시 소사수 심곡본동 612-3 지호빌 404호</t>
  </si>
  <si>
    <t>국상준</t>
  </si>
  <si>
    <t>01062329473</t>
  </si>
  <si>
    <t>idmagic8</t>
  </si>
  <si>
    <t>CR00768113</t>
  </si>
  <si>
    <t>광주광역시 남구 서동66-5,대성빌a동201호</t>
  </si>
  <si>
    <t>김상훈</t>
  </si>
  <si>
    <t>01037608004</t>
  </si>
  <si>
    <t>BC800452</t>
  </si>
  <si>
    <t>CR00111853</t>
  </si>
  <si>
    <t>서울특별시 중구 퇴계로42길 7</t>
  </si>
  <si>
    <t>이정웅</t>
  </si>
  <si>
    <t>01077931800</t>
  </si>
  <si>
    <t>BC41808</t>
  </si>
  <si>
    <t>CR00067577</t>
  </si>
  <si>
    <t>서울특별시 서초구 반포동 733-26 503호</t>
  </si>
  <si>
    <t>김대유</t>
  </si>
  <si>
    <t>01027726160</t>
  </si>
  <si>
    <t>kimdy6160</t>
  </si>
  <si>
    <t>CR00691118</t>
  </si>
  <si>
    <t>서울시 관악구 은천동 국회단지7길7 지하2호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</si>
</sst>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(* #,##0_);_(* \(#,##0\);_(* &quot;-&quot;_);_(@_)"/>
  </numFmts>
  <fonts count="3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나눔고딕"/>
      <family val="3"/>
      <charset val="129"/>
    </font>
    <font>
      <sz val="8"/>
      <name val="맑은 고딕"/>
      <family val="2"/>
      <charset val="129"/>
      <scheme val="minor"/>
    </font>
    <font>
      <sz val="10"/>
      <color theme="1"/>
      <name val="배달의민족 도현"/>
      <family val="3"/>
      <charset val="129"/>
    </font>
    <font>
      <sz val="20"/>
      <color theme="1"/>
      <name val="배달의민족 도현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16"/>
      <color theme="1"/>
      <name val="배달의민족 도현"/>
      <family val="3"/>
      <charset val="129"/>
    </font>
    <font>
      <sz val="28"/>
      <color theme="1"/>
      <name val="배달의민족 도현"/>
      <family val="3"/>
      <charset val="129"/>
    </font>
    <font>
      <b/>
      <sz val="16"/>
      <color theme="0"/>
      <name val="배달의민족 한나체 Air"/>
      <family val="3"/>
      <charset val="129"/>
    </font>
    <font>
      <b/>
      <sz val="14"/>
      <color theme="0"/>
      <name val="배달의민족 한나체 Air"/>
      <family val="3"/>
      <charset val="129"/>
    </font>
    <font>
      <b/>
      <sz val="12"/>
      <color theme="0"/>
      <name val="배달의민족 한나체 Air"/>
      <family val="3"/>
      <charset val="129"/>
    </font>
    <font>
      <b/>
      <sz val="12"/>
      <color theme="1"/>
      <name val="배달의민족 한나체 Air"/>
      <family val="3"/>
      <charset val="129"/>
    </font>
    <font>
      <b/>
      <sz val="14"/>
      <color theme="1"/>
      <name val="배달의민족 한나체 Air"/>
      <family val="3"/>
      <charset val="129"/>
    </font>
    <font>
      <sz val="11"/>
      <color indexed="8"/>
      <name val="맑은 고딕"/>
      <family val="2"/>
      <scheme val="minor"/>
    </font>
    <font>
      <sz val="11"/>
      <color theme="1"/>
      <name val="배달의민족 도현"/>
      <family val="3"/>
      <charset val="129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0"/>
      <name val="배달의민족 한나체 Air"/>
      <family val="3"/>
      <charset val="129"/>
    </font>
    <font>
      <b/>
      <sz val="10"/>
      <color rgb="FFFFFFFF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0"/>
      <name val="맑은 고딕"/>
      <family val="3"/>
      <charset val="129"/>
    </font>
    <font>
      <b/>
      <sz val="14"/>
      <color rgb="FFFF000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</font>
    <font>
      <sz val="10"/>
      <color theme="1"/>
      <name val="Arial"/>
      <family val="3"/>
      <charset val="129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 Unicode MS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9696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top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2" fillId="2" borderId="12" xfId="0" applyFont="1" applyFill="1" applyBorder="1" applyAlignment="1">
      <alignment horizontal="right" wrapText="1"/>
    </xf>
    <xf numFmtId="0" fontId="4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 wrapText="1"/>
    </xf>
    <xf numFmtId="0" fontId="13" fillId="4" borderId="14" xfId="1" applyNumberFormat="1" applyFont="1" applyFill="1" applyBorder="1" applyAlignment="1">
      <alignment horizontal="center" vertical="center" shrinkToFit="1"/>
    </xf>
    <xf numFmtId="41" fontId="13" fillId="4" borderId="14" xfId="1" applyNumberFormat="1" applyFont="1" applyFill="1" applyBorder="1" applyAlignment="1">
      <alignment horizontal="center" vertical="center" shrinkToFit="1"/>
    </xf>
    <xf numFmtId="41" fontId="13" fillId="4" borderId="12" xfId="1" applyNumberFormat="1" applyFont="1" applyFill="1" applyBorder="1" applyAlignment="1">
      <alignment horizontal="center" vertical="center" shrinkToFit="1"/>
    </xf>
    <xf numFmtId="0" fontId="7" fillId="0" borderId="18" xfId="0" applyFont="1" applyBorder="1" applyAlignment="1">
      <alignment horizontal="center" vertical="center" shrinkToFit="1"/>
    </xf>
    <xf numFmtId="3" fontId="7" fillId="0" borderId="7" xfId="1" applyNumberFormat="1" applyFont="1" applyBorder="1" applyAlignment="1">
      <alignment horizontal="center" vertical="center" shrinkToFit="1"/>
    </xf>
    <xf numFmtId="41" fontId="7" fillId="0" borderId="1" xfId="1" applyNumberFormat="1" applyFont="1" applyBorder="1" applyAlignment="1">
      <alignment horizontal="center" vertical="center" shrinkToFit="1"/>
    </xf>
    <xf numFmtId="176" fontId="7" fillId="0" borderId="18" xfId="1" applyFont="1" applyBorder="1" applyAlignment="1">
      <alignment horizontal="center" vertical="center" shrinkToFit="1"/>
    </xf>
    <xf numFmtId="0" fontId="13" fillId="3" borderId="1" xfId="0" applyFont="1" applyFill="1" applyBorder="1" applyAlignment="1">
      <alignment horizontal="center" vertical="center" wrapText="1"/>
    </xf>
    <xf numFmtId="0" fontId="21" fillId="0" borderId="0" xfId="0" applyFont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14" fontId="18" fillId="0" borderId="28" xfId="0" applyNumberFormat="1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14" fontId="18" fillId="0" borderId="29" xfId="0" applyNumberFormat="1" applyFont="1" applyBorder="1" applyAlignment="1">
      <alignment horizontal="center" vertical="center" wrapText="1"/>
    </xf>
    <xf numFmtId="0" fontId="0" fillId="0" borderId="30" xfId="0" applyBorder="1">
      <alignment vertical="center"/>
    </xf>
    <xf numFmtId="0" fontId="0" fillId="0" borderId="32" xfId="0" applyBorder="1">
      <alignment vertical="center"/>
    </xf>
    <xf numFmtId="14" fontId="18" fillId="0" borderId="29" xfId="0" applyNumberFormat="1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14" fontId="28" fillId="0" borderId="28" xfId="0" applyNumberFormat="1" applyFont="1" applyBorder="1" applyAlignment="1">
      <alignment horizontal="center" vertical="center" wrapText="1"/>
    </xf>
    <xf numFmtId="14" fontId="28" fillId="0" borderId="29" xfId="0" applyNumberFormat="1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wrapText="1"/>
    </xf>
    <xf numFmtId="14" fontId="18" fillId="0" borderId="29" xfId="0" applyNumberFormat="1" applyFont="1" applyBorder="1" applyAlignment="1">
      <alignment horizontal="center" wrapText="1"/>
    </xf>
    <xf numFmtId="14" fontId="18" fillId="0" borderId="29" xfId="0" applyNumberFormat="1" applyFont="1" applyBorder="1" applyAlignment="1">
      <alignment horizontal="right" vertical="center" wrapText="1"/>
    </xf>
    <xf numFmtId="14" fontId="28" fillId="0" borderId="29" xfId="0" applyNumberFormat="1" applyFont="1" applyBorder="1" applyAlignment="1">
      <alignment horizontal="center" wrapText="1"/>
    </xf>
    <xf numFmtId="14" fontId="28" fillId="0" borderId="28" xfId="0" applyNumberFormat="1" applyFont="1" applyBorder="1" applyAlignment="1">
      <alignment horizontal="center" wrapText="1"/>
    </xf>
    <xf numFmtId="14" fontId="18" fillId="0" borderId="29" xfId="0" applyNumberFormat="1" applyFont="1" applyBorder="1" applyAlignment="1">
      <alignment horizontal="right" wrapText="1"/>
    </xf>
    <xf numFmtId="0" fontId="27" fillId="0" borderId="29" xfId="0" applyFont="1" applyBorder="1" applyAlignment="1">
      <alignment horizontal="center" wrapText="1"/>
    </xf>
    <xf numFmtId="0" fontId="29" fillId="0" borderId="29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31" xfId="0" applyBorder="1">
      <alignment vertical="center"/>
    </xf>
    <xf numFmtId="0" fontId="26" fillId="0" borderId="29" xfId="0" applyFont="1" applyBorder="1" applyAlignment="1">
      <alignment horizontal="center" vertical="center" wrapText="1"/>
    </xf>
    <xf numFmtId="49" fontId="18" fillId="0" borderId="29" xfId="0" quotePrefix="1" applyNumberFormat="1" applyFont="1" applyBorder="1" applyAlignment="1">
      <alignment horizontal="center" vertical="center" wrapText="1"/>
    </xf>
    <xf numFmtId="0" fontId="22" fillId="0" borderId="33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19" fillId="0" borderId="33" xfId="0" applyFont="1" applyBorder="1" applyAlignment="1">
      <alignment horizontal="center" vertical="center" wrapText="1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14" fontId="18" fillId="0" borderId="4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30" fillId="0" borderId="42" xfId="0" applyFont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 wrapText="1"/>
    </xf>
    <xf numFmtId="14" fontId="18" fillId="0" borderId="42" xfId="0" applyNumberFormat="1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0" fillId="7" borderId="30" xfId="0" applyFill="1" applyBorder="1">
      <alignment vertical="center"/>
    </xf>
    <xf numFmtId="0" fontId="0" fillId="7" borderId="31" xfId="0" applyFill="1" applyBorder="1">
      <alignment vertical="center"/>
    </xf>
    <xf numFmtId="0" fontId="30" fillId="0" borderId="29" xfId="0" applyFont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49" fontId="17" fillId="6" borderId="1" xfId="0" applyNumberFormat="1" applyFont="1" applyFill="1" applyBorder="1" applyAlignment="1">
      <alignment horizontal="center" vertical="center"/>
    </xf>
    <xf numFmtId="49" fontId="18" fillId="0" borderId="29" xfId="0" applyNumberFormat="1" applyFont="1" applyBorder="1" applyAlignment="1">
      <alignment horizontal="center" vertical="center" wrapText="1"/>
    </xf>
    <xf numFmtId="49" fontId="18" fillId="0" borderId="42" xfId="0" applyNumberFormat="1" applyFont="1" applyBorder="1" applyAlignment="1">
      <alignment horizontal="center" vertical="center" wrapText="1"/>
    </xf>
    <xf numFmtId="49" fontId="18" fillId="0" borderId="29" xfId="0" applyNumberFormat="1" applyFont="1" applyBorder="1" applyAlignment="1">
      <alignment horizontal="center" wrapText="1"/>
    </xf>
    <xf numFmtId="49" fontId="0" fillId="0" borderId="0" xfId="0" applyNumberFormat="1">
      <alignment vertical="center"/>
    </xf>
    <xf numFmtId="49" fontId="18" fillId="0" borderId="0" xfId="0" applyNumberFormat="1" applyFont="1" applyAlignment="1">
      <alignment horizontal="center" vertical="center"/>
    </xf>
    <xf numFmtId="14" fontId="18" fillId="7" borderId="41" xfId="0" applyNumberFormat="1" applyFont="1" applyFill="1" applyBorder="1" applyAlignment="1">
      <alignment horizontal="center" vertical="center" wrapText="1"/>
    </xf>
    <xf numFmtId="0" fontId="18" fillId="7" borderId="29" xfId="0" applyFont="1" applyFill="1" applyBorder="1" applyAlignment="1">
      <alignment horizontal="center" vertical="center" wrapText="1"/>
    </xf>
    <xf numFmtId="49" fontId="18" fillId="7" borderId="29" xfId="0" applyNumberFormat="1" applyFont="1" applyFill="1" applyBorder="1" applyAlignment="1">
      <alignment horizontal="center" vertical="center" wrapText="1"/>
    </xf>
    <xf numFmtId="0" fontId="30" fillId="7" borderId="29" xfId="0" applyFont="1" applyFill="1" applyBorder="1" applyAlignment="1">
      <alignment horizontal="center" vertical="center" wrapText="1"/>
    </xf>
    <xf numFmtId="0" fontId="18" fillId="7" borderId="29" xfId="0" applyFont="1" applyFill="1" applyBorder="1" applyAlignment="1">
      <alignment vertical="center" wrapText="1"/>
    </xf>
    <xf numFmtId="14" fontId="18" fillId="7" borderId="29" xfId="0" applyNumberFormat="1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 wrapText="1"/>
    </xf>
    <xf numFmtId="14" fontId="18" fillId="7" borderId="29" xfId="0" applyNumberFormat="1" applyFont="1" applyFill="1" applyBorder="1" applyAlignment="1">
      <alignment vertical="center" wrapText="1"/>
    </xf>
    <xf numFmtId="0" fontId="0" fillId="7" borderId="0" xfId="0" applyFill="1">
      <alignment vertical="center"/>
    </xf>
    <xf numFmtId="0" fontId="26" fillId="7" borderId="29" xfId="0" applyFont="1" applyFill="1" applyBorder="1" applyAlignment="1">
      <alignment horizontal="center" vertical="center" wrapText="1"/>
    </xf>
    <xf numFmtId="0" fontId="0" fillId="7" borderId="35" xfId="0" applyFill="1" applyBorder="1">
      <alignment vertical="center"/>
    </xf>
    <xf numFmtId="0" fontId="0" fillId="7" borderId="36" xfId="0" applyFill="1" applyBorder="1">
      <alignment vertical="center"/>
    </xf>
    <xf numFmtId="49" fontId="25" fillId="0" borderId="0" xfId="0" applyNumberFormat="1" applyFont="1" applyAlignment="1">
      <alignment horizontal="center" vertical="center" wrapText="1"/>
    </xf>
    <xf numFmtId="14" fontId="18" fillId="8" borderId="41" xfId="0" applyNumberFormat="1" applyFont="1" applyFill="1" applyBorder="1" applyAlignment="1">
      <alignment horizontal="center" vertical="center" wrapText="1"/>
    </xf>
    <xf numFmtId="0" fontId="30" fillId="8" borderId="29" xfId="0" applyFont="1" applyFill="1" applyBorder="1" applyAlignment="1">
      <alignment horizontal="center" vertical="center" wrapText="1"/>
    </xf>
    <xf numFmtId="49" fontId="18" fillId="8" borderId="29" xfId="0" quotePrefix="1" applyNumberFormat="1" applyFont="1" applyFill="1" applyBorder="1" applyAlignment="1">
      <alignment horizontal="center" vertical="center" wrapText="1"/>
    </xf>
    <xf numFmtId="49" fontId="18" fillId="8" borderId="29" xfId="0" applyNumberFormat="1" applyFont="1" applyFill="1" applyBorder="1" applyAlignment="1">
      <alignment horizontal="center" vertical="center" wrapText="1"/>
    </xf>
    <xf numFmtId="0" fontId="18" fillId="8" borderId="29" xfId="0" applyFont="1" applyFill="1" applyBorder="1" applyAlignment="1">
      <alignment horizontal="center" vertical="center" wrapText="1"/>
    </xf>
    <xf numFmtId="0" fontId="18" fillId="8" borderId="29" xfId="0" applyFont="1" applyFill="1" applyBorder="1" applyAlignment="1">
      <alignment vertical="center" wrapText="1"/>
    </xf>
    <xf numFmtId="14" fontId="18" fillId="8" borderId="29" xfId="0" applyNumberFormat="1" applyFont="1" applyFill="1" applyBorder="1" applyAlignment="1">
      <alignment horizontal="center" vertical="center" wrapText="1"/>
    </xf>
    <xf numFmtId="49" fontId="25" fillId="8" borderId="0" xfId="0" applyNumberFormat="1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 wrapText="1"/>
    </xf>
    <xf numFmtId="0" fontId="0" fillId="8" borderId="30" xfId="0" applyFill="1" applyBorder="1">
      <alignment vertical="center"/>
    </xf>
    <xf numFmtId="0" fontId="0" fillId="8" borderId="31" xfId="0" applyFill="1" applyBorder="1">
      <alignment vertical="center"/>
    </xf>
    <xf numFmtId="49" fontId="25" fillId="7" borderId="0" xfId="0" applyNumberFormat="1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3" fillId="3" borderId="8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center" vertical="center" wrapText="1"/>
    </xf>
    <xf numFmtId="0" fontId="13" fillId="4" borderId="15" xfId="0" applyFont="1" applyFill="1" applyBorder="1" applyAlignment="1">
      <alignment horizontal="center" vertical="center" wrapText="1"/>
    </xf>
    <xf numFmtId="0" fontId="13" fillId="3" borderId="26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0" fontId="13" fillId="3" borderId="20" xfId="0" applyFont="1" applyFill="1" applyBorder="1" applyAlignment="1">
      <alignment horizontal="center" vertical="center" wrapText="1"/>
    </xf>
    <xf numFmtId="0" fontId="13" fillId="3" borderId="21" xfId="0" applyFont="1" applyFill="1" applyBorder="1" applyAlignment="1">
      <alignment horizontal="center" vertical="center" wrapText="1"/>
    </xf>
    <xf numFmtId="0" fontId="14" fillId="3" borderId="19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0" fontId="14" fillId="3" borderId="24" xfId="0" applyFont="1" applyFill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/>
    </xf>
    <xf numFmtId="0" fontId="13" fillId="3" borderId="23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7" fillId="0" borderId="25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13" fillId="3" borderId="6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2" borderId="37" xfId="0" applyFont="1" applyFill="1" applyBorder="1" applyAlignment="1">
      <alignment horizontal="center" vertical="center" wrapText="1"/>
    </xf>
    <xf numFmtId="0" fontId="10" fillId="2" borderId="38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11" xfId="0" applyFont="1" applyFill="1" applyBorder="1" applyAlignment="1">
      <alignment horizontal="center" vertical="center" wrapText="1"/>
    </xf>
    <xf numFmtId="0" fontId="13" fillId="3" borderId="39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0" fontId="19" fillId="0" borderId="33" xfId="0" applyFont="1" applyBorder="1" applyAlignment="1">
      <alignment horizontal="center" vertical="center" wrapText="1"/>
    </xf>
    <xf numFmtId="0" fontId="19" fillId="5" borderId="33" xfId="0" applyFont="1" applyFill="1" applyBorder="1" applyAlignment="1">
      <alignment horizontal="center" vertical="center" wrapText="1"/>
    </xf>
    <xf numFmtId="0" fontId="19" fillId="5" borderId="34" xfId="0" applyFont="1" applyFill="1" applyBorder="1" applyAlignment="1">
      <alignment horizontal="center" vertical="center" wrapText="1"/>
    </xf>
  </cellXfs>
  <cellStyles count="4">
    <cellStyle name="쉼표 [0]" xfId="1" builtinId="6"/>
    <cellStyle name="표준" xfId="0" builtinId="0"/>
    <cellStyle name="표준 2" xfId="2" xr:uid="{00000000-0005-0000-0000-000002000000}"/>
    <cellStyle name="표준 3" xfId="3" xr:uid="{00000000-0005-0000-0000-000003000000}"/>
  </cellStyles>
  <dxfs count="26"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C7CE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322328</xdr:colOff>
      <xdr:row>0</xdr:row>
      <xdr:rowOff>102784</xdr:rowOff>
    </xdr:from>
    <xdr:to>
      <xdr:col>18</xdr:col>
      <xdr:colOff>939924</xdr:colOff>
      <xdr:row>2</xdr:row>
      <xdr:rowOff>20083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4578" y="102784"/>
          <a:ext cx="614421" cy="624017"/>
        </a:xfrm>
        <a:prstGeom prst="rect">
          <a:avLst/>
        </a:prstGeom>
      </xdr:spPr>
    </xdr:pic>
    <xdr:clientData/>
  </xdr:twoCellAnchor>
  <xdr:twoCellAnchor editAs="oneCell">
    <xdr:from>
      <xdr:col>14</xdr:col>
      <xdr:colOff>789281</xdr:colOff>
      <xdr:row>16</xdr:row>
      <xdr:rowOff>149412</xdr:rowOff>
    </xdr:from>
    <xdr:to>
      <xdr:col>18</xdr:col>
      <xdr:colOff>615800</xdr:colOff>
      <xdr:row>18</xdr:row>
      <xdr:rowOff>102340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1928" y="8994588"/>
          <a:ext cx="3961996" cy="8525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97119</xdr:colOff>
      <xdr:row>0</xdr:row>
      <xdr:rowOff>164353</xdr:rowOff>
    </xdr:from>
    <xdr:to>
      <xdr:col>20</xdr:col>
      <xdr:colOff>164354</xdr:colOff>
      <xdr:row>4</xdr:row>
      <xdr:rowOff>29882</xdr:rowOff>
    </xdr:to>
    <xdr:sp macro="[0]!Export_Doc" textlink="">
      <xdr:nvSpPr>
        <xdr:cNvPr id="2" name="하트 1">
          <a:extLst>
            <a:ext uri="{FF2B5EF4-FFF2-40B4-BE49-F238E27FC236}">
              <a16:creationId xmlns:a16="http://schemas.microsoft.com/office/drawing/2014/main" id="{BB9D2A3A-176C-47E7-9F06-1CE02492B927}"/>
            </a:ext>
          </a:extLst>
        </xdr:cNvPr>
        <xdr:cNvSpPr/>
      </xdr:nvSpPr>
      <xdr:spPr>
        <a:xfrm>
          <a:off x="16539884" y="164353"/>
          <a:ext cx="1382058" cy="1045882"/>
        </a:xfrm>
        <a:prstGeom prst="hear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tx1">
                  <a:lumMod val="50000"/>
                  <a:lumOff val="50000"/>
                </a:schemeClr>
              </a:solidFill>
              <a:latin typeface="배달의민족 한나체 Pro" panose="020B0600000101010101" pitchFamily="50" charset="-127"/>
              <a:ea typeface="배달의민족 한나체 Pro" panose="020B0600000101010101" pitchFamily="50" charset="-127"/>
            </a:rPr>
            <a:t>발급하기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464"/>
  <sheetViews>
    <sheetView showGridLines="0" view="pageBreakPreview" zoomScale="70" zoomScaleNormal="70" zoomScaleSheetLayoutView="70" workbookViewId="0">
      <selection activeCell="B3" sqref="B3:S3"/>
    </sheetView>
  </sheetViews>
  <sheetFormatPr defaultColWidth="0" defaultRowHeight="12.5"/>
  <cols>
    <col min="1" max="1" width="1.58203125" style="1" customWidth="1"/>
    <col min="2" max="2" width="5.5" style="1" customWidth="1"/>
    <col min="3" max="3" width="12" style="1" customWidth="1"/>
    <col min="4" max="4" width="25.5" style="1" customWidth="1"/>
    <col min="5" max="5" width="11.4140625" style="2" customWidth="1"/>
    <col min="6" max="9" width="15.5" style="1" customWidth="1"/>
    <col min="10" max="17" width="13.5" style="1" customWidth="1"/>
    <col min="18" max="18" width="13.5" style="7" customWidth="1"/>
    <col min="19" max="19" width="15.5" style="7" customWidth="1"/>
    <col min="20" max="20" width="8.5" style="1" customWidth="1"/>
    <col min="21" max="21" width="7.08203125" style="1" customWidth="1"/>
    <col min="22" max="22" width="11.5" style="1" hidden="1" customWidth="1"/>
    <col min="23" max="24" width="12.5" style="1" hidden="1" customWidth="1"/>
    <col min="25" max="34" width="0" style="1" hidden="1" customWidth="1"/>
    <col min="35" max="16384" width="8.5" style="1" hidden="1"/>
  </cols>
  <sheetData>
    <row r="1" spans="2:34" ht="42.15" customHeight="1"/>
    <row r="2" spans="2:34" ht="12.65" customHeight="1"/>
    <row r="3" spans="2:34" ht="74.150000000000006" customHeight="1" thickBot="1">
      <c r="B3" s="119" t="s">
        <v>17</v>
      </c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</row>
    <row r="4" spans="2:34" ht="22.5" customHeight="1">
      <c r="B4" s="120" t="s">
        <v>16</v>
      </c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2"/>
    </row>
    <row r="5" spans="2:34" ht="20.25" customHeight="1">
      <c r="B5" s="125" t="s">
        <v>0</v>
      </c>
      <c r="C5" s="126"/>
      <c r="D5" s="129"/>
      <c r="E5" s="129"/>
      <c r="F5" s="129"/>
      <c r="G5" s="129"/>
      <c r="H5" s="129"/>
      <c r="I5" s="129"/>
      <c r="J5" s="19" t="s">
        <v>18</v>
      </c>
      <c r="K5" s="127"/>
      <c r="L5" s="127"/>
      <c r="M5" s="127"/>
      <c r="N5" s="127"/>
      <c r="O5" s="127"/>
      <c r="P5" s="127"/>
      <c r="Q5" s="127"/>
      <c r="R5" s="127"/>
      <c r="S5" s="128"/>
    </row>
    <row r="6" spans="2:34" ht="20.25" customHeight="1">
      <c r="B6" s="125" t="s">
        <v>10</v>
      </c>
      <c r="C6" s="126"/>
      <c r="D6" s="130"/>
      <c r="E6" s="130"/>
      <c r="F6" s="130"/>
      <c r="G6" s="130"/>
      <c r="H6" s="130"/>
      <c r="I6" s="130"/>
      <c r="J6" s="19" t="s">
        <v>7</v>
      </c>
      <c r="K6" s="127"/>
      <c r="L6" s="127"/>
      <c r="M6" s="127"/>
      <c r="N6" s="127"/>
      <c r="O6" s="127"/>
      <c r="P6" s="127"/>
      <c r="Q6" s="127"/>
      <c r="R6" s="127"/>
      <c r="S6" s="128"/>
      <c r="W6" s="5"/>
      <c r="X6" s="5"/>
    </row>
    <row r="7" spans="2:34" ht="23.25" customHeight="1" thickBot="1">
      <c r="B7" s="123" t="s">
        <v>14</v>
      </c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9" t="s">
        <v>15</v>
      </c>
      <c r="V7" s="5"/>
    </row>
    <row r="8" spans="2:34" ht="21.75" customHeight="1">
      <c r="B8" s="102" t="s">
        <v>12</v>
      </c>
      <c r="C8" s="103"/>
      <c r="D8" s="104"/>
      <c r="E8" s="105" t="s">
        <v>1</v>
      </c>
      <c r="F8" s="106"/>
      <c r="G8" s="106"/>
      <c r="H8" s="106"/>
      <c r="I8" s="107"/>
      <c r="J8" s="108" t="s">
        <v>2</v>
      </c>
      <c r="K8" s="106"/>
      <c r="L8" s="106"/>
      <c r="M8" s="106"/>
      <c r="N8" s="106"/>
      <c r="O8" s="106"/>
      <c r="P8" s="106"/>
      <c r="Q8" s="106"/>
      <c r="R8" s="107"/>
      <c r="S8" s="11" t="s">
        <v>3</v>
      </c>
    </row>
    <row r="9" spans="2:34" ht="20.149999999999999" customHeight="1">
      <c r="B9" s="98" t="s">
        <v>26</v>
      </c>
      <c r="C9" s="99"/>
      <c r="D9" s="93" t="s">
        <v>13</v>
      </c>
      <c r="E9" s="109" t="s">
        <v>4</v>
      </c>
      <c r="F9" s="111" t="s">
        <v>42</v>
      </c>
      <c r="G9" s="111" t="s">
        <v>11</v>
      </c>
      <c r="H9" s="111" t="s">
        <v>43</v>
      </c>
      <c r="I9" s="111" t="s">
        <v>44</v>
      </c>
      <c r="J9" s="117" t="s">
        <v>19</v>
      </c>
      <c r="K9" s="117" t="s">
        <v>33</v>
      </c>
      <c r="L9" s="117" t="s">
        <v>46</v>
      </c>
      <c r="M9" s="117" t="s">
        <v>20</v>
      </c>
      <c r="N9" s="117" t="s">
        <v>21</v>
      </c>
      <c r="O9" s="117" t="s">
        <v>22</v>
      </c>
      <c r="P9" s="117" t="s">
        <v>23</v>
      </c>
      <c r="Q9" s="117" t="s">
        <v>24</v>
      </c>
      <c r="R9" s="117" t="s">
        <v>5</v>
      </c>
      <c r="S9" s="93" t="s">
        <v>6</v>
      </c>
    </row>
    <row r="10" spans="2:34">
      <c r="B10" s="100"/>
      <c r="C10" s="101"/>
      <c r="D10" s="94"/>
      <c r="E10" s="110"/>
      <c r="F10" s="112"/>
      <c r="G10" s="112"/>
      <c r="H10" s="112"/>
      <c r="I10" s="112"/>
      <c r="J10" s="118"/>
      <c r="K10" s="118"/>
      <c r="L10" s="118"/>
      <c r="M10" s="118"/>
      <c r="N10" s="118"/>
      <c r="O10" s="118"/>
      <c r="P10" s="118"/>
      <c r="Q10" s="118"/>
      <c r="R10" s="118"/>
      <c r="S10" s="94"/>
    </row>
    <row r="11" spans="2:34" s="2" customFormat="1" ht="17.149999999999999" customHeight="1">
      <c r="B11" s="115"/>
      <c r="C11" s="116"/>
      <c r="D11" s="15"/>
      <c r="E11" s="16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8"/>
      <c r="U11" s="6"/>
    </row>
    <row r="12" spans="2:34" s="2" customFormat="1" ht="16.5" customHeight="1" thickBot="1">
      <c r="B12" s="95" t="s">
        <v>8</v>
      </c>
      <c r="C12" s="96"/>
      <c r="D12" s="97"/>
      <c r="E12" s="12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4"/>
    </row>
    <row r="13" spans="2:34" ht="12.65" customHeight="1"/>
    <row r="14" spans="2:34" ht="14.4" customHeight="1">
      <c r="C14" s="3"/>
      <c r="D14" s="3"/>
      <c r="E14" s="10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8"/>
      <c r="S14" s="8"/>
    </row>
    <row r="15" spans="2:34" ht="23.15" customHeight="1">
      <c r="B15" s="113" t="s">
        <v>9</v>
      </c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</row>
    <row r="16" spans="2:34" ht="28.5" customHeight="1">
      <c r="B16" s="114">
        <f ca="1">TODAY()</f>
        <v>45505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Y16" s="4"/>
      <c r="Z16" s="4"/>
      <c r="AA16" s="4"/>
      <c r="AB16" s="4"/>
      <c r="AC16" s="4"/>
      <c r="AD16" s="4"/>
      <c r="AE16" s="4"/>
      <c r="AF16" s="4"/>
      <c r="AG16" s="4"/>
      <c r="AH16" s="4"/>
    </row>
    <row r="17" spans="3:19" ht="57.9" customHeight="1">
      <c r="C17" s="92" t="s">
        <v>25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</row>
    <row r="18" spans="3:19" ht="12.65" customHeight="1"/>
    <row r="19" spans="3:19" ht="12.65" customHeight="1"/>
    <row r="20" spans="3:19" ht="12.65" customHeight="1"/>
    <row r="21" spans="3:19" ht="12.65" customHeight="1"/>
    <row r="22" spans="3:19" ht="12.65" customHeight="1"/>
    <row r="23" spans="3:19" ht="12.65" customHeight="1"/>
    <row r="24" spans="3:19" ht="12.65" customHeight="1"/>
    <row r="25" spans="3:19" ht="12.65" customHeight="1"/>
    <row r="26" spans="3:19" ht="12.65" customHeight="1"/>
    <row r="27" spans="3:19" ht="12.65" customHeight="1"/>
    <row r="28" spans="3:19" ht="12.65" customHeight="1"/>
    <row r="29" spans="3:19" ht="12.65" customHeight="1"/>
    <row r="30" spans="3:19" ht="12.65" customHeight="1"/>
    <row r="31" spans="3:19" ht="12.65" customHeight="1"/>
    <row r="32" spans="3:19" ht="12.65" customHeight="1"/>
    <row r="33" ht="12.65" customHeight="1"/>
    <row r="34" ht="12.65" customHeight="1"/>
    <row r="35" ht="12.65" customHeight="1"/>
    <row r="36" ht="12.65" customHeight="1"/>
    <row r="37" ht="12.65" customHeight="1"/>
    <row r="38" ht="12.65" customHeight="1"/>
    <row r="39" ht="12.65" customHeight="1"/>
    <row r="40" ht="12.65" customHeight="1"/>
    <row r="41" ht="12.65" customHeight="1"/>
    <row r="42" ht="12.65" customHeight="1"/>
    <row r="43" ht="12.65" customHeight="1"/>
    <row r="44" ht="12.65" customHeight="1"/>
    <row r="45" ht="12.65" customHeight="1"/>
    <row r="46" ht="12.65" customHeight="1"/>
    <row r="47" ht="12.65" customHeight="1"/>
    <row r="48" ht="12.65" customHeight="1"/>
    <row r="49" ht="12.65" customHeight="1"/>
    <row r="50" ht="12.65" customHeight="1"/>
    <row r="51" ht="12.65" customHeight="1"/>
    <row r="52" ht="12.65" customHeight="1"/>
    <row r="53" ht="12.65" customHeight="1"/>
    <row r="54" ht="12.65" customHeight="1"/>
    <row r="55" ht="12.65" customHeight="1"/>
    <row r="56" ht="12.65" customHeight="1"/>
    <row r="57" ht="12.65" customHeight="1"/>
    <row r="58" ht="12.65" customHeight="1"/>
    <row r="59" ht="12.65" customHeight="1"/>
    <row r="60" ht="12.65" customHeight="1"/>
    <row r="61" ht="12.65" customHeight="1"/>
    <row r="62" ht="12.65" customHeight="1"/>
    <row r="63" ht="12.65" customHeight="1"/>
    <row r="64" ht="12.65" customHeight="1"/>
    <row r="65" ht="12.65" customHeight="1"/>
    <row r="66" ht="12.65" customHeight="1"/>
    <row r="67" ht="12.65" customHeight="1"/>
    <row r="68" ht="12.65" customHeight="1"/>
    <row r="69" ht="12.65" customHeight="1"/>
    <row r="70" ht="12.65" customHeight="1"/>
    <row r="71" ht="12.65" customHeight="1"/>
    <row r="72" ht="12.65" customHeight="1"/>
    <row r="73" ht="12.65" customHeight="1"/>
    <row r="74" ht="12.65" customHeight="1"/>
    <row r="75" ht="12.65" customHeight="1"/>
    <row r="76" ht="12.65" customHeight="1"/>
    <row r="77" ht="12.65" customHeight="1"/>
    <row r="78" ht="12.65" customHeight="1"/>
    <row r="79" ht="12.65" customHeight="1"/>
    <row r="80" ht="12.65" customHeight="1"/>
    <row r="81" ht="12.65" customHeight="1"/>
    <row r="82" ht="12.65" customHeight="1"/>
    <row r="83" ht="12.65" customHeight="1"/>
    <row r="84" ht="12.65" customHeight="1"/>
    <row r="85" ht="12.65" customHeight="1"/>
    <row r="86" ht="12.65" customHeight="1"/>
    <row r="87" ht="12.65" customHeight="1"/>
    <row r="88" ht="12.65" customHeight="1"/>
    <row r="89" ht="12.65" customHeight="1"/>
    <row r="90" ht="12.65" customHeight="1"/>
    <row r="91" ht="12.65" customHeight="1"/>
    <row r="92" ht="12.65" customHeight="1"/>
    <row r="93" ht="12.65" customHeight="1"/>
    <row r="94" ht="12.65" customHeight="1"/>
    <row r="95" ht="12.65" customHeight="1"/>
    <row r="96" ht="12.65" customHeight="1"/>
    <row r="97" ht="12.65" customHeight="1"/>
    <row r="98" ht="12.65" customHeight="1"/>
    <row r="99" ht="12.65" customHeight="1"/>
    <row r="100" ht="12.65" customHeight="1"/>
    <row r="101" ht="12.65" customHeight="1"/>
    <row r="102" ht="12.65" customHeight="1"/>
    <row r="103" ht="12.65" customHeight="1"/>
    <row r="104" ht="12.65" customHeight="1"/>
    <row r="105" ht="12.65" customHeight="1"/>
    <row r="106" ht="12.65" customHeight="1"/>
    <row r="107" ht="12.65" customHeight="1"/>
    <row r="108" ht="12.65" customHeight="1"/>
    <row r="109" ht="12.65" customHeight="1"/>
    <row r="110" ht="12.65" customHeight="1"/>
    <row r="111" ht="12.65" customHeight="1"/>
    <row r="112" ht="12.65" customHeight="1"/>
    <row r="113" ht="12.65" customHeight="1"/>
    <row r="114" ht="12.65" customHeight="1"/>
    <row r="115" ht="12.65" customHeight="1"/>
    <row r="116" ht="12.65" customHeight="1"/>
    <row r="117" ht="12.65" customHeight="1"/>
    <row r="118" ht="12.65" customHeight="1"/>
    <row r="119" ht="12.65" customHeight="1"/>
    <row r="120" ht="12.65" customHeight="1"/>
    <row r="121" ht="12.65" customHeight="1"/>
    <row r="122" ht="12.65" customHeight="1"/>
    <row r="123" ht="12.65" customHeight="1"/>
    <row r="124" ht="12.65" customHeight="1"/>
    <row r="125" ht="12.65" customHeight="1"/>
    <row r="126" ht="12.65" customHeight="1"/>
    <row r="127" ht="12.65" customHeight="1"/>
    <row r="128" ht="12.65" customHeight="1"/>
    <row r="129" ht="12.65" customHeight="1"/>
    <row r="130" ht="12.65" customHeight="1"/>
    <row r="131" ht="12.65" customHeight="1"/>
    <row r="132" ht="12.65" customHeight="1"/>
    <row r="133" ht="12.65" customHeight="1"/>
    <row r="134" ht="12.65" customHeight="1"/>
    <row r="135" ht="12.65" customHeight="1"/>
    <row r="136" ht="12.65" customHeight="1"/>
    <row r="137" ht="12.65" customHeight="1"/>
    <row r="138" ht="12.65" customHeight="1"/>
    <row r="139" ht="12.65" customHeight="1"/>
    <row r="140" ht="12.65" customHeight="1"/>
    <row r="141" ht="12.65" customHeight="1"/>
    <row r="142" ht="12.65" customHeight="1"/>
    <row r="143" ht="12.65" customHeight="1"/>
    <row r="144" ht="12.65" customHeight="1"/>
    <row r="145" ht="12.65" customHeight="1"/>
    <row r="146" ht="12.65" customHeight="1"/>
    <row r="147" ht="12.65" customHeight="1"/>
    <row r="148" ht="12.65" customHeight="1"/>
    <row r="149" ht="12.65" customHeight="1"/>
    <row r="150" ht="12.65" customHeight="1"/>
    <row r="151" ht="12.65" customHeight="1"/>
    <row r="152" ht="12.65" customHeight="1"/>
    <row r="153" ht="12.65" customHeight="1"/>
    <row r="154" ht="12.65" customHeight="1"/>
    <row r="155" ht="12.65" customHeight="1"/>
    <row r="156" ht="12.65" customHeight="1"/>
    <row r="157" ht="12.65" customHeight="1"/>
    <row r="158" ht="12.65" customHeight="1"/>
    <row r="159" ht="12.65" customHeight="1"/>
    <row r="160" ht="12.65" customHeight="1"/>
    <row r="161" ht="12.65" customHeight="1"/>
    <row r="162" ht="12.65" customHeight="1"/>
    <row r="163" ht="12.65" customHeight="1"/>
    <row r="164" ht="12.65" customHeight="1"/>
    <row r="165" ht="12.65" customHeight="1"/>
    <row r="166" ht="12.65" customHeight="1"/>
    <row r="167" ht="12.65" customHeight="1"/>
    <row r="168" ht="12.65" customHeight="1"/>
    <row r="169" ht="12.65" customHeight="1"/>
    <row r="170" ht="12.65" customHeight="1"/>
    <row r="171" ht="12.65" customHeight="1"/>
    <row r="172" ht="12.65" customHeight="1"/>
    <row r="173" ht="12.65" customHeight="1"/>
    <row r="174" ht="12.65" customHeight="1"/>
    <row r="175" ht="12.65" customHeight="1"/>
    <row r="176" ht="12.65" customHeight="1"/>
    <row r="177" ht="12.65" customHeight="1"/>
    <row r="178" ht="12.65" customHeight="1"/>
    <row r="179" ht="12.65" customHeight="1"/>
    <row r="180" ht="12.65" customHeight="1"/>
    <row r="181" ht="12.65" customHeight="1"/>
    <row r="182" ht="12.65" customHeight="1"/>
    <row r="183" ht="12.65" customHeight="1"/>
    <row r="184" ht="12.65" customHeight="1"/>
    <row r="185" ht="12.65" customHeight="1"/>
    <row r="186" ht="12.65" customHeight="1"/>
    <row r="187" ht="12.65" customHeight="1"/>
    <row r="188" ht="12.65" customHeight="1"/>
    <row r="189" ht="12.65" customHeight="1"/>
    <row r="190" ht="12.65" customHeight="1"/>
    <row r="191" ht="12.65" customHeight="1"/>
    <row r="192" ht="12.65" customHeight="1"/>
    <row r="193" ht="12.65" customHeight="1"/>
    <row r="194" ht="12.65" customHeight="1"/>
    <row r="195" ht="12.65" customHeight="1"/>
    <row r="196" ht="12.65" customHeight="1"/>
    <row r="197" ht="12.65" customHeight="1"/>
    <row r="198" ht="12.65" customHeight="1"/>
    <row r="199" ht="12.65" customHeight="1"/>
    <row r="200" ht="12.65" customHeight="1"/>
    <row r="201" ht="12.65" customHeight="1"/>
    <row r="202" ht="12.65" customHeight="1"/>
    <row r="203" ht="12.65" customHeight="1"/>
    <row r="204" ht="12.65" customHeight="1"/>
    <row r="205" ht="12.65" customHeight="1"/>
    <row r="206" ht="12.65" customHeight="1"/>
    <row r="207" ht="12.65" customHeight="1"/>
    <row r="208" ht="12.65" customHeight="1"/>
    <row r="209" ht="12.65" customHeight="1"/>
    <row r="210" ht="12.65" customHeight="1"/>
    <row r="211" ht="12.65" customHeight="1"/>
    <row r="212" ht="12.65" customHeight="1"/>
    <row r="213" ht="12.65" customHeight="1"/>
    <row r="214" ht="12.65" customHeight="1"/>
    <row r="215" ht="12.65" customHeight="1"/>
    <row r="216" ht="12.65" customHeight="1"/>
    <row r="217" ht="12.65" customHeight="1"/>
    <row r="218" ht="12.65" customHeight="1"/>
    <row r="219" ht="12.65" customHeight="1"/>
    <row r="220" ht="12.65" customHeight="1"/>
    <row r="221" ht="12.65" customHeight="1"/>
    <row r="222" ht="12.65" customHeight="1"/>
    <row r="223" ht="12.65" customHeight="1"/>
    <row r="224" ht="12.65" customHeight="1"/>
    <row r="225" ht="12.65" customHeight="1"/>
    <row r="226" ht="12.65" customHeight="1"/>
    <row r="227" ht="12.65" customHeight="1"/>
    <row r="228" ht="12.65" customHeight="1"/>
    <row r="229" ht="12.65" customHeight="1"/>
    <row r="230" ht="12.65" customHeight="1"/>
    <row r="231" ht="12.65" customHeight="1"/>
    <row r="232" ht="12.65" customHeight="1"/>
    <row r="233" ht="12.65" customHeight="1"/>
    <row r="234" ht="12.65" customHeight="1"/>
    <row r="235" ht="12.65" customHeight="1"/>
    <row r="236" ht="12.65" customHeight="1"/>
    <row r="237" ht="12.65" customHeight="1"/>
    <row r="238" ht="12.65" customHeight="1"/>
    <row r="239" ht="12.65" customHeight="1"/>
    <row r="240" ht="12.65" customHeight="1"/>
    <row r="241" ht="12.65" customHeight="1"/>
    <row r="242" ht="12.65" customHeight="1"/>
    <row r="243" ht="12.65" customHeight="1"/>
    <row r="244" ht="12.65" customHeight="1"/>
    <row r="245" ht="12.65" customHeight="1"/>
    <row r="246" ht="12.65" customHeight="1"/>
    <row r="247" ht="12.65" customHeight="1"/>
    <row r="248" ht="12.65" customHeight="1"/>
    <row r="249" ht="12.65" customHeight="1"/>
    <row r="250" ht="12.65" customHeight="1"/>
    <row r="251" ht="12.65" customHeight="1"/>
    <row r="252" ht="12.65" customHeight="1"/>
    <row r="253" ht="12.65" customHeight="1"/>
    <row r="254" ht="12.65" customHeight="1"/>
    <row r="255" ht="12.65" customHeight="1"/>
    <row r="256" ht="12.65" customHeight="1"/>
    <row r="257" ht="12.65" customHeight="1"/>
    <row r="258" ht="12.65" customHeight="1"/>
    <row r="259" ht="12.65" customHeight="1"/>
    <row r="260" ht="12.65" customHeight="1"/>
    <row r="261" ht="12.65" customHeight="1"/>
    <row r="262" ht="12.65" customHeight="1"/>
    <row r="263" ht="12.65" customHeight="1"/>
    <row r="264" ht="12.65" customHeight="1"/>
    <row r="265" ht="12.65" customHeight="1"/>
    <row r="266" ht="12.65" customHeight="1"/>
    <row r="267" ht="12.65" customHeight="1"/>
    <row r="268" ht="12.65" customHeight="1"/>
    <row r="269" ht="12.65" customHeight="1"/>
    <row r="270" ht="12.65" customHeight="1"/>
    <row r="271" ht="12.65" customHeight="1"/>
    <row r="272" ht="12.65" customHeight="1"/>
    <row r="273" ht="12.65" customHeight="1"/>
    <row r="274" ht="12.65" customHeight="1"/>
    <row r="275" ht="12.65" customHeight="1"/>
    <row r="276" ht="12.65" customHeight="1"/>
    <row r="277" ht="12.65" customHeight="1"/>
    <row r="278" ht="12.65" customHeight="1"/>
    <row r="279" ht="12.65" customHeight="1"/>
    <row r="280" ht="12.65" customHeight="1"/>
    <row r="281" ht="12.65" customHeight="1"/>
    <row r="282" ht="12.65" customHeight="1"/>
    <row r="283" ht="12.65" customHeight="1"/>
    <row r="284" ht="12.65" customHeight="1"/>
    <row r="285" ht="12.65" customHeight="1"/>
    <row r="286" ht="12.65" customHeight="1"/>
    <row r="287" ht="12.65" customHeight="1"/>
    <row r="288" ht="12.65" customHeight="1"/>
    <row r="289" ht="12.65" customHeight="1"/>
    <row r="290" ht="12.65" customHeight="1"/>
    <row r="291" ht="12.65" customHeight="1"/>
    <row r="292" ht="12.65" customHeight="1"/>
    <row r="293" ht="12.65" customHeight="1"/>
    <row r="294" ht="12.65" customHeight="1"/>
    <row r="295" ht="12.65" customHeight="1"/>
    <row r="296" ht="12.65" customHeight="1"/>
    <row r="297" ht="12.65" customHeight="1"/>
    <row r="298" ht="12.65" customHeight="1"/>
    <row r="299" ht="12.65" customHeight="1"/>
    <row r="300" ht="12.65" customHeight="1"/>
    <row r="301" ht="12.65" customHeight="1"/>
    <row r="302" ht="12.65" customHeight="1"/>
    <row r="303" ht="12.65" customHeight="1"/>
    <row r="304" ht="12.65" customHeight="1"/>
    <row r="305" ht="12.65" customHeight="1"/>
    <row r="306" ht="12.65" customHeight="1"/>
    <row r="307" ht="12.65" customHeight="1"/>
    <row r="308" ht="12.65" customHeight="1"/>
    <row r="309" ht="12.65" customHeight="1"/>
    <row r="310" ht="12.65" customHeight="1"/>
    <row r="311" ht="12.65" customHeight="1"/>
    <row r="312" ht="12.65" customHeight="1"/>
    <row r="313" ht="12.65" customHeight="1"/>
    <row r="314" ht="12.65" customHeight="1"/>
    <row r="315" ht="12.65" customHeight="1"/>
    <row r="316" ht="12.65" customHeight="1"/>
    <row r="317" ht="12.65" customHeight="1"/>
    <row r="318" ht="12.65" customHeight="1"/>
    <row r="319" ht="12.65" customHeight="1"/>
    <row r="320" ht="12.65" customHeight="1"/>
    <row r="321" ht="12.65" customHeight="1"/>
    <row r="322" ht="12.65" customHeight="1"/>
    <row r="323" ht="12.65" customHeight="1"/>
    <row r="324" ht="12.65" customHeight="1"/>
    <row r="325" ht="12.65" customHeight="1"/>
    <row r="326" ht="12.65" customHeight="1"/>
    <row r="327" ht="12.65" customHeight="1"/>
    <row r="328" ht="12.65" customHeight="1"/>
    <row r="329" ht="12.65" customHeight="1"/>
    <row r="330" ht="12.65" customHeight="1"/>
    <row r="331" ht="12.65" customHeight="1"/>
    <row r="332" ht="12.65" customHeight="1"/>
    <row r="333" ht="12.65" customHeight="1"/>
    <row r="334" ht="12.65" customHeight="1"/>
    <row r="335" ht="12.65" customHeight="1"/>
    <row r="336" ht="12.65" customHeight="1"/>
    <row r="337" ht="12.65" customHeight="1"/>
    <row r="338" ht="12.65" customHeight="1"/>
    <row r="339" ht="12.65" customHeight="1"/>
    <row r="340" ht="12.65" customHeight="1"/>
    <row r="341" ht="12.65" customHeight="1"/>
    <row r="342" ht="12.65" customHeight="1"/>
    <row r="343" ht="12.65" customHeight="1"/>
    <row r="344" ht="12.65" customHeight="1"/>
    <row r="345" ht="12.65" customHeight="1"/>
    <row r="346" ht="12.65" customHeight="1"/>
    <row r="347" ht="12.65" customHeight="1"/>
    <row r="348" ht="12.65" customHeight="1"/>
    <row r="349" ht="12.65" customHeight="1"/>
    <row r="350" ht="12.65" customHeight="1"/>
    <row r="351" ht="12.65" customHeight="1"/>
    <row r="352" ht="12.65" customHeight="1"/>
    <row r="353" ht="12.65" customHeight="1"/>
    <row r="354" ht="12.65" customHeight="1"/>
    <row r="355" ht="12.65" customHeight="1"/>
    <row r="356" ht="12.65" customHeight="1"/>
    <row r="357" ht="12.65" customHeight="1"/>
    <row r="358" ht="12.65" customHeight="1"/>
    <row r="359" ht="12.65" customHeight="1"/>
    <row r="360" ht="12.65" customHeight="1"/>
    <row r="361" ht="12.65" customHeight="1"/>
    <row r="362" ht="12.65" customHeight="1"/>
    <row r="363" ht="12.65" customHeight="1"/>
    <row r="364" ht="12.65" customHeight="1"/>
    <row r="365" ht="12.65" customHeight="1"/>
    <row r="366" ht="12.65" customHeight="1"/>
    <row r="367" ht="12.65" customHeight="1"/>
    <row r="368" ht="12.65" customHeight="1"/>
    <row r="369" ht="12.65" customHeight="1"/>
    <row r="370" ht="12.65" customHeight="1"/>
    <row r="371" ht="12.65" customHeight="1"/>
    <row r="372" ht="12.65" customHeight="1"/>
    <row r="373" ht="12.65" customHeight="1"/>
    <row r="374" ht="12.65" customHeight="1"/>
    <row r="375" ht="12.65" customHeight="1"/>
    <row r="376" ht="12.65" customHeight="1"/>
    <row r="377" ht="12.65" customHeight="1"/>
    <row r="378" ht="12.65" customHeight="1"/>
    <row r="379" ht="12.65" customHeight="1"/>
    <row r="380" ht="12.65" customHeight="1"/>
    <row r="381" ht="12.65" customHeight="1"/>
    <row r="382" ht="12.65" customHeight="1"/>
    <row r="383" ht="12.65" customHeight="1"/>
    <row r="384" ht="12.65" customHeight="1"/>
    <row r="385" ht="12.65" customHeight="1"/>
    <row r="386" ht="12.65" customHeight="1"/>
    <row r="387" ht="12.65" customHeight="1"/>
    <row r="388" ht="12.65" customHeight="1"/>
    <row r="389" ht="12.65" customHeight="1"/>
    <row r="390" ht="12.65" customHeight="1"/>
    <row r="391" ht="12.65" customHeight="1"/>
    <row r="392" ht="12.65" customHeight="1"/>
    <row r="393" ht="12.65" customHeight="1"/>
    <row r="394" ht="12.65" customHeight="1"/>
    <row r="395" ht="12.65" customHeight="1"/>
    <row r="396" ht="12.65" customHeight="1"/>
    <row r="397" ht="12.65" customHeight="1"/>
    <row r="398" ht="12.65" customHeight="1"/>
    <row r="399" ht="12.65" customHeight="1"/>
    <row r="400" ht="12.65" customHeight="1"/>
    <row r="401" ht="12.65" customHeight="1"/>
    <row r="402" ht="12.65" customHeight="1"/>
    <row r="403" ht="12.65" customHeight="1"/>
    <row r="404" ht="12.65" customHeight="1"/>
    <row r="405" ht="12.65" customHeight="1"/>
    <row r="406" ht="12.65" customHeight="1"/>
    <row r="407" ht="12.65" customHeight="1"/>
    <row r="408" ht="12.65" customHeight="1"/>
    <row r="409" ht="12.65" customHeight="1"/>
    <row r="410" ht="12.65" customHeight="1"/>
    <row r="411" ht="12.65" customHeight="1"/>
    <row r="412" ht="12.65" customHeight="1"/>
    <row r="413" ht="12.65" customHeight="1"/>
    <row r="414" ht="12.65" customHeight="1"/>
    <row r="415" ht="12.65" customHeight="1"/>
    <row r="416" ht="12.65" customHeight="1"/>
    <row r="417" ht="12.65" customHeight="1"/>
    <row r="418" ht="12.65" customHeight="1"/>
    <row r="419" ht="12.65" customHeight="1"/>
    <row r="420" ht="12.65" customHeight="1"/>
    <row r="421" ht="12.65" customHeight="1"/>
    <row r="422" ht="12.65" customHeight="1"/>
    <row r="423" ht="12.65" customHeight="1"/>
    <row r="424" ht="12.65" customHeight="1"/>
    <row r="425" ht="12.65" customHeight="1"/>
    <row r="426" ht="12.65" customHeight="1"/>
    <row r="427" ht="12.65" customHeight="1"/>
    <row r="428" ht="12.65" customHeight="1"/>
    <row r="429" ht="12.65" customHeight="1"/>
    <row r="430" ht="12.65" customHeight="1"/>
    <row r="431" ht="12.65" customHeight="1"/>
    <row r="432" ht="12.65" customHeight="1"/>
    <row r="433" ht="12.65" customHeight="1"/>
    <row r="434" ht="12.65" customHeight="1"/>
    <row r="435" ht="12.65" customHeight="1"/>
    <row r="436" ht="12.65" customHeight="1"/>
    <row r="437" ht="12.65" customHeight="1"/>
    <row r="438" ht="12.65" customHeight="1"/>
    <row r="439" ht="12.65" customHeight="1"/>
    <row r="440" ht="12.65" customHeight="1"/>
    <row r="441" ht="12.65" customHeight="1"/>
    <row r="442" ht="12.65" customHeight="1"/>
    <row r="443" ht="12.65" customHeight="1"/>
    <row r="444" ht="12.65" customHeight="1"/>
    <row r="445" ht="12.65" customHeight="1"/>
    <row r="446" ht="12.65" customHeight="1"/>
    <row r="447" ht="12.65" customHeight="1"/>
    <row r="448" ht="12.65" customHeight="1"/>
    <row r="449" ht="12.65" customHeight="1"/>
    <row r="450" ht="12.65" customHeight="1"/>
    <row r="451" ht="12.65" customHeight="1"/>
    <row r="452" ht="12.65" customHeight="1"/>
    <row r="453" ht="12.65" customHeight="1"/>
    <row r="454" ht="12.65" customHeight="1"/>
    <row r="455" ht="12.65" customHeight="1"/>
    <row r="456" ht="12.65" customHeight="1"/>
    <row r="457" ht="12.65" customHeight="1"/>
    <row r="458" ht="12.65" customHeight="1"/>
    <row r="459" ht="12.65" customHeight="1"/>
    <row r="460" ht="12.65" customHeight="1"/>
    <row r="461" ht="12.65" customHeight="1"/>
    <row r="462" ht="12.65" customHeight="1"/>
    <row r="463" ht="12.65" customHeight="1"/>
    <row r="464" ht="12.65" customHeight="1"/>
  </sheetData>
  <mergeCells count="34">
    <mergeCell ref="P9:P10"/>
    <mergeCell ref="K9:K10"/>
    <mergeCell ref="N9:N10"/>
    <mergeCell ref="I9:I10"/>
    <mergeCell ref="D9:D10"/>
    <mergeCell ref="J9:J10"/>
    <mergeCell ref="L9:L10"/>
    <mergeCell ref="M9:M10"/>
    <mergeCell ref="H9:H10"/>
    <mergeCell ref="B3:S3"/>
    <mergeCell ref="B4:S4"/>
    <mergeCell ref="B7:R7"/>
    <mergeCell ref="B5:C5"/>
    <mergeCell ref="B6:C6"/>
    <mergeCell ref="K6:S6"/>
    <mergeCell ref="D5:I5"/>
    <mergeCell ref="D6:I6"/>
    <mergeCell ref="K5:S5"/>
    <mergeCell ref="C17:S17"/>
    <mergeCell ref="S9:S10"/>
    <mergeCell ref="B12:D12"/>
    <mergeCell ref="B9:C10"/>
    <mergeCell ref="B8:D8"/>
    <mergeCell ref="E8:I8"/>
    <mergeCell ref="J8:R8"/>
    <mergeCell ref="E9:E10"/>
    <mergeCell ref="F9:F10"/>
    <mergeCell ref="G9:G10"/>
    <mergeCell ref="B15:S15"/>
    <mergeCell ref="B16:S16"/>
    <mergeCell ref="B11:C11"/>
    <mergeCell ref="Q9:Q10"/>
    <mergeCell ref="R9:R10"/>
    <mergeCell ref="O9:O10"/>
  </mergeCells>
  <phoneticPr fontId="3" type="noConversion"/>
  <printOptions horizontalCentered="1"/>
  <pageMargins left="0.25" right="0.25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R190"/>
  <sheetViews>
    <sheetView showGridLines="0" tabSelected="1" zoomScale="85" zoomScaleNormal="85" workbookViewId="0">
      <pane ySplit="1" topLeftCell="A2" activePane="bottomLeft" state="frozen"/>
      <selection pane="bottomLeft" activeCell="C9" sqref="C9"/>
    </sheetView>
  </sheetViews>
  <sheetFormatPr defaultRowHeight="17"/>
  <cols>
    <col min="1" max="1" width="10.08203125" bestFit="1" customWidth="1"/>
    <col min="2" max="2" width="8" customWidth="1"/>
    <col min="3" max="3" width="15.9140625" style="65" customWidth="1"/>
    <col min="4" max="4" width="17" customWidth="1"/>
    <col min="5" max="5" width="12.9140625" style="66" customWidth="1"/>
    <col min="6" max="6" width="12.58203125" style="41" customWidth="1"/>
    <col min="7" max="7" width="7.9140625" customWidth="1"/>
    <col min="8" max="9" width="9.58203125" customWidth="1"/>
    <col min="10" max="10" width="66" style="42" customWidth="1"/>
    <col min="11" max="11" width="11" style="41" customWidth="1"/>
    <col min="12" max="13" width="11.08203125" customWidth="1"/>
    <col min="14" max="18" width="0" hidden="1" customWidth="1"/>
  </cols>
  <sheetData>
    <row r="1" spans="1:18" ht="37.5" customHeight="1" thickBot="1">
      <c r="A1" s="23" t="s">
        <v>45</v>
      </c>
      <c r="B1" s="21" t="s">
        <v>39</v>
      </c>
      <c r="C1" s="61" t="s">
        <v>27</v>
      </c>
      <c r="D1" s="22" t="s">
        <v>28</v>
      </c>
      <c r="E1" s="61" t="s">
        <v>38</v>
      </c>
      <c r="F1" s="23" t="s">
        <v>37</v>
      </c>
      <c r="G1" s="23" t="s">
        <v>36</v>
      </c>
      <c r="H1" s="23" t="s">
        <v>34</v>
      </c>
      <c r="I1" s="23" t="s">
        <v>35</v>
      </c>
      <c r="J1" s="60" t="s">
        <v>29</v>
      </c>
      <c r="K1" s="22" t="s">
        <v>30</v>
      </c>
      <c r="L1" s="46" t="s">
        <v>40</v>
      </c>
      <c r="M1" s="47" t="s">
        <v>41</v>
      </c>
      <c r="N1" s="48" t="s">
        <v>10</v>
      </c>
      <c r="O1" s="131" t="s">
        <v>31</v>
      </c>
      <c r="P1" s="131"/>
      <c r="Q1" s="132" t="s">
        <v>32</v>
      </c>
      <c r="R1" s="133"/>
    </row>
    <row r="2" spans="1:18" ht="25.5" customHeight="1" thickBot="1">
      <c r="A2" s="80" t="s">
        <v>48</v>
      </c>
      <c r="B2" s="81" t="s">
        <v>49</v>
      </c>
      <c r="C2" s="82" t="s">
        <v>50</v>
      </c>
      <c r="D2" s="81" t="s">
        <v>47</v>
      </c>
      <c r="E2" s="83" t="s">
        <v>51</v>
      </c>
      <c r="F2" s="84" t="s">
        <v>52</v>
      </c>
      <c r="G2" s="85" t="b">
        <v>0</v>
      </c>
      <c r="H2" s="86">
        <v>45504</v>
      </c>
      <c r="I2" s="86">
        <v>45505</v>
      </c>
      <c r="J2" s="84" t="s">
        <v>53</v>
      </c>
      <c r="K2" s="86">
        <v>26798</v>
      </c>
      <c r="L2" s="87" t="str">
        <f>C2</f>
        <v>01076803600</v>
      </c>
      <c r="M2" s="88" t="s">
        <v>50</v>
      </c>
      <c r="N2" s="89" t="e">
        <f>VLOOKUP($M2,#REF!,6,0)</f>
        <v>#REF!</v>
      </c>
      <c r="O2" s="89" t="e">
        <f>VLOOKUP($M2,#REF!,3,0)</f>
        <v>#REF!</v>
      </c>
      <c r="P2" s="90" t="e">
        <f t="shared" ref="P2:P14" si="0">O2=E2</f>
        <v>#REF!</v>
      </c>
      <c r="Q2" s="27" t="e">
        <f>VLOOKUP($M2,#REF!,2,0)</f>
        <v>#REF!</v>
      </c>
      <c r="R2" s="28" t="e">
        <f t="shared" ref="R2" si="1">Q2=B2</f>
        <v>#REF!</v>
      </c>
    </row>
    <row r="3" spans="1:18" ht="25.5" customHeight="1" thickBot="1">
      <c r="A3" s="51">
        <v>45505</v>
      </c>
      <c r="B3" s="59" t="s">
        <v>54</v>
      </c>
      <c r="C3" s="63" t="s">
        <v>55</v>
      </c>
      <c r="D3" s="59" t="s">
        <v>47</v>
      </c>
      <c r="E3" s="63" t="s">
        <v>56</v>
      </c>
      <c r="F3" s="54" t="s">
        <v>57</v>
      </c>
      <c r="G3" s="30" t="b">
        <v>0</v>
      </c>
      <c r="H3" s="26">
        <v>45490</v>
      </c>
      <c r="I3" s="26">
        <v>45496</v>
      </c>
      <c r="J3" s="25" t="s">
        <v>58</v>
      </c>
      <c r="K3" s="26">
        <v>31089</v>
      </c>
      <c r="L3" s="79" t="str">
        <f t="shared" ref="L3:L10" si="2">C3</f>
        <v>01052992045</v>
      </c>
      <c r="M3" s="52" t="s">
        <v>55</v>
      </c>
      <c r="N3" s="57" t="e">
        <f>VLOOKUP($M3,#REF!,6,0)</f>
        <v>#REF!</v>
      </c>
      <c r="O3" s="57" t="e">
        <f>VLOOKUP($M3,#REF!,3,0)</f>
        <v>#REF!</v>
      </c>
      <c r="P3" s="58" t="e">
        <f t="shared" si="0"/>
        <v>#REF!</v>
      </c>
      <c r="Q3" s="27" t="e">
        <f>VLOOKUP($M3,#REF!,2,0)</f>
        <v>#REF!</v>
      </c>
      <c r="R3" s="28" t="e">
        <f t="shared" ref="R3:R14" si="3">Q3=B3</f>
        <v>#REF!</v>
      </c>
    </row>
    <row r="4" spans="1:18" ht="20.149999999999999" customHeight="1" thickBot="1">
      <c r="A4" s="51">
        <v>45505</v>
      </c>
      <c r="B4" s="53" t="s">
        <v>59</v>
      </c>
      <c r="C4" s="63" t="s">
        <v>60</v>
      </c>
      <c r="D4" s="59" t="s">
        <v>47</v>
      </c>
      <c r="E4" s="63" t="s">
        <v>61</v>
      </c>
      <c r="F4" s="54" t="s">
        <v>62</v>
      </c>
      <c r="G4" s="30" t="b">
        <v>0</v>
      </c>
      <c r="H4" s="26">
        <v>45474</v>
      </c>
      <c r="I4" s="26">
        <v>45504</v>
      </c>
      <c r="J4" s="54" t="s">
        <v>63</v>
      </c>
      <c r="K4" s="55">
        <v>30512</v>
      </c>
      <c r="L4" s="79" t="str">
        <f t="shared" si="2"/>
        <v>01058821257</v>
      </c>
      <c r="M4" s="52" t="s">
        <v>60</v>
      </c>
      <c r="N4" s="57" t="e">
        <f>VLOOKUP($M4,#REF!,6,0)</f>
        <v>#REF!</v>
      </c>
      <c r="O4" s="57" t="e">
        <f>VLOOKUP($M4,#REF!,3,0)</f>
        <v>#REF!</v>
      </c>
      <c r="P4" s="58" t="e">
        <f t="shared" si="0"/>
        <v>#REF!</v>
      </c>
      <c r="Q4" s="27" t="e">
        <f>VLOOKUP($M4,#REF!,2,0)</f>
        <v>#REF!</v>
      </c>
      <c r="R4" s="28" t="e">
        <f t="shared" si="3"/>
        <v>#REF!</v>
      </c>
    </row>
    <row r="5" spans="1:18" ht="20.149999999999999" customHeight="1" thickBot="1">
      <c r="A5" s="51">
        <v>45505</v>
      </c>
      <c r="B5" s="53" t="s">
        <v>64</v>
      </c>
      <c r="C5" s="63" t="s">
        <v>65</v>
      </c>
      <c r="D5" s="59" t="s">
        <v>47</v>
      </c>
      <c r="E5" s="63" t="s">
        <v>66</v>
      </c>
      <c r="F5" s="54" t="s">
        <v>67</v>
      </c>
      <c r="G5" s="30" t="b">
        <v>0</v>
      </c>
      <c r="H5" s="29">
        <v>45444</v>
      </c>
      <c r="I5" s="26">
        <v>45504</v>
      </c>
      <c r="J5" s="54" t="s">
        <v>68</v>
      </c>
      <c r="K5" s="55">
        <v>29288</v>
      </c>
      <c r="L5" s="79" t="str">
        <f t="shared" si="2"/>
        <v>01043253210</v>
      </c>
      <c r="M5" s="52" t="s">
        <v>65</v>
      </c>
      <c r="N5" s="27" t="e">
        <f>VLOOKUP($M5,#REF!,6,0)</f>
        <v>#REF!</v>
      </c>
      <c r="O5" s="27" t="e">
        <f>VLOOKUP($M5,#REF!,3,0)</f>
        <v>#REF!</v>
      </c>
      <c r="P5" s="43" t="e">
        <f t="shared" si="0"/>
        <v>#REF!</v>
      </c>
      <c r="Q5" s="27" t="e">
        <f>VLOOKUP($M5,#REF!,2,0)</f>
        <v>#REF!</v>
      </c>
      <c r="R5" s="28" t="e">
        <f t="shared" si="3"/>
        <v>#REF!</v>
      </c>
    </row>
    <row r="6" spans="1:18" ht="20.149999999999999" customHeight="1" thickBot="1">
      <c r="A6" s="51">
        <v>45505</v>
      </c>
      <c r="B6" s="53" t="s">
        <v>69</v>
      </c>
      <c r="C6" s="63" t="s">
        <v>70</v>
      </c>
      <c r="D6" s="59" t="s">
        <v>47</v>
      </c>
      <c r="E6" s="63" t="s">
        <v>71</v>
      </c>
      <c r="F6" s="54" t="s">
        <v>72</v>
      </c>
      <c r="G6" s="30" t="b">
        <v>0</v>
      </c>
      <c r="H6" s="29">
        <v>45292</v>
      </c>
      <c r="I6" s="26">
        <v>45504</v>
      </c>
      <c r="J6" s="54" t="s">
        <v>73</v>
      </c>
      <c r="K6" s="55">
        <v>34006</v>
      </c>
      <c r="L6" s="79" t="str">
        <f t="shared" si="2"/>
        <v>01077462448</v>
      </c>
      <c r="M6" s="52" t="s">
        <v>70</v>
      </c>
      <c r="N6" s="27" t="e">
        <f>VLOOKUP($M6,#REF!,6,0)</f>
        <v>#REF!</v>
      </c>
      <c r="O6" s="27" t="e">
        <f>VLOOKUP($M6,#REF!,3,0)</f>
        <v>#REF!</v>
      </c>
      <c r="P6" s="43" t="e">
        <f t="shared" si="0"/>
        <v>#REF!</v>
      </c>
      <c r="Q6" s="27" t="e">
        <f>VLOOKUP($M6,#REF!,2,0)</f>
        <v>#REF!</v>
      </c>
      <c r="R6" s="28" t="e">
        <f t="shared" si="3"/>
        <v>#REF!</v>
      </c>
    </row>
    <row r="7" spans="1:18" ht="20.149999999999999" customHeight="1" thickBot="1">
      <c r="A7" s="51">
        <v>45505</v>
      </c>
      <c r="B7" s="25" t="s">
        <v>74</v>
      </c>
      <c r="C7" s="62" t="s">
        <v>75</v>
      </c>
      <c r="D7" s="59" t="s">
        <v>47</v>
      </c>
      <c r="E7" s="62" t="s">
        <v>76</v>
      </c>
      <c r="F7" s="25" t="s">
        <v>77</v>
      </c>
      <c r="G7" s="30" t="b">
        <v>0</v>
      </c>
      <c r="H7" s="26">
        <v>45446</v>
      </c>
      <c r="I7" s="26">
        <v>45475</v>
      </c>
      <c r="J7" s="25" t="s">
        <v>78</v>
      </c>
      <c r="K7" s="26">
        <v>35341</v>
      </c>
      <c r="L7" s="79" t="str">
        <f t="shared" si="2"/>
        <v>01062329473</v>
      </c>
      <c r="M7" s="52" t="s">
        <v>75</v>
      </c>
      <c r="N7" s="27" t="e">
        <f>VLOOKUP($M7,#REF!,6,0)</f>
        <v>#REF!</v>
      </c>
      <c r="O7" s="27" t="e">
        <f>VLOOKUP($M7,#REF!,3,0)</f>
        <v>#REF!</v>
      </c>
      <c r="P7" s="43" t="e">
        <f t="shared" si="0"/>
        <v>#REF!</v>
      </c>
      <c r="Q7" s="27" t="e">
        <f>VLOOKUP($M7,#REF!,2,0)</f>
        <v>#REF!</v>
      </c>
      <c r="R7" s="28" t="e">
        <f t="shared" si="3"/>
        <v>#REF!</v>
      </c>
    </row>
    <row r="8" spans="1:18" ht="17.5" thickBot="1">
      <c r="A8" s="51">
        <v>45505</v>
      </c>
      <c r="B8" s="25" t="s">
        <v>79</v>
      </c>
      <c r="C8" s="62" t="s">
        <v>80</v>
      </c>
      <c r="D8" s="59" t="s">
        <v>47</v>
      </c>
      <c r="E8" s="62" t="s">
        <v>81</v>
      </c>
      <c r="F8" s="25" t="s">
        <v>82</v>
      </c>
      <c r="G8" s="30" t="b">
        <v>0</v>
      </c>
      <c r="H8" s="29">
        <v>45474</v>
      </c>
      <c r="I8" s="26">
        <v>45504</v>
      </c>
      <c r="J8" s="25" t="s">
        <v>83</v>
      </c>
      <c r="K8" s="26">
        <v>32302</v>
      </c>
      <c r="L8" s="79" t="str">
        <f t="shared" si="2"/>
        <v>01037608004</v>
      </c>
      <c r="M8" s="52" t="s">
        <v>80</v>
      </c>
      <c r="N8" s="27" t="e">
        <f>VLOOKUP($M8,#REF!,6,0)</f>
        <v>#REF!</v>
      </c>
      <c r="O8" s="27" t="e">
        <f>VLOOKUP($M8,#REF!,3,0)</f>
        <v>#REF!</v>
      </c>
      <c r="P8" s="43" t="e">
        <f t="shared" si="0"/>
        <v>#REF!</v>
      </c>
      <c r="Q8" s="27" t="e">
        <f>VLOOKUP($M8,#REF!,2,0)</f>
        <v>#REF!</v>
      </c>
      <c r="R8" s="28" t="e">
        <f t="shared" si="3"/>
        <v>#REF!</v>
      </c>
    </row>
    <row r="9" spans="1:18" ht="20.149999999999999" customHeight="1" thickBot="1">
      <c r="A9" s="51">
        <v>45505</v>
      </c>
      <c r="B9" s="25" t="s">
        <v>84</v>
      </c>
      <c r="C9" s="62" t="s">
        <v>85</v>
      </c>
      <c r="D9" s="59" t="s">
        <v>47</v>
      </c>
      <c r="E9" s="62" t="s">
        <v>86</v>
      </c>
      <c r="F9" s="25" t="s">
        <v>87</v>
      </c>
      <c r="G9" s="30" t="b">
        <v>0</v>
      </c>
      <c r="H9" s="26">
        <v>44927</v>
      </c>
      <c r="I9" s="26">
        <v>45505</v>
      </c>
      <c r="J9" s="25" t="s">
        <v>88</v>
      </c>
      <c r="K9" s="26">
        <v>24493</v>
      </c>
      <c r="L9" s="79" t="str">
        <f t="shared" si="2"/>
        <v>01077931800</v>
      </c>
      <c r="M9" s="52" t="s">
        <v>85</v>
      </c>
      <c r="N9" s="27" t="e">
        <f>VLOOKUP($M9,#REF!,6,0)</f>
        <v>#REF!</v>
      </c>
      <c r="O9" s="27" t="e">
        <f>VLOOKUP($M9,#REF!,3,0)</f>
        <v>#REF!</v>
      </c>
      <c r="P9" s="43" t="e">
        <f t="shared" si="0"/>
        <v>#REF!</v>
      </c>
      <c r="Q9" s="27" t="e">
        <f>VLOOKUP($M9,#REF!,2,0)</f>
        <v>#REF!</v>
      </c>
      <c r="R9" s="28" t="e">
        <f t="shared" si="3"/>
        <v>#REF!</v>
      </c>
    </row>
    <row r="10" spans="1:18" ht="17.5" thickBot="1">
      <c r="A10" s="67">
        <v>45505</v>
      </c>
      <c r="B10" s="68" t="s">
        <v>89</v>
      </c>
      <c r="C10" s="69" t="s">
        <v>90</v>
      </c>
      <c r="D10" s="70" t="s">
        <v>47</v>
      </c>
      <c r="E10" s="69" t="s">
        <v>91</v>
      </c>
      <c r="F10" s="68" t="s">
        <v>92</v>
      </c>
      <c r="G10" s="71" t="b">
        <v>0</v>
      </c>
      <c r="H10" s="74">
        <v>45473</v>
      </c>
      <c r="I10" s="72">
        <v>45505</v>
      </c>
      <c r="J10" s="68" t="s">
        <v>93</v>
      </c>
      <c r="K10" s="72">
        <v>31709</v>
      </c>
      <c r="L10" s="91" t="str">
        <f t="shared" si="2"/>
        <v>01027726160</v>
      </c>
      <c r="M10" s="73" t="s">
        <v>90</v>
      </c>
      <c r="N10" s="57" t="e">
        <f>VLOOKUP($M10,#REF!,6,0)</f>
        <v>#REF!</v>
      </c>
      <c r="O10" s="57" t="e">
        <f>VLOOKUP($M10,#REF!,3,0)</f>
        <v>#REF!</v>
      </c>
      <c r="P10" s="58" t="e">
        <f t="shared" si="0"/>
        <v>#REF!</v>
      </c>
      <c r="Q10" s="27" t="e">
        <f>VLOOKUP($M10,#REF!,2,0)</f>
        <v>#REF!</v>
      </c>
      <c r="R10" s="28" t="e">
        <f t="shared" si="3"/>
        <v>#REF!</v>
      </c>
    </row>
    <row r="11" spans="1:18" ht="17.5" thickBot="1">
      <c r="A11" s="51"/>
      <c r="B11" s="44"/>
      <c r="C11" s="62"/>
      <c r="D11" s="59"/>
      <c r="E11" s="62"/>
      <c r="F11" s="25"/>
      <c r="G11" s="30"/>
      <c r="H11" s="29"/>
      <c r="I11" s="26"/>
      <c r="J11" s="25"/>
      <c r="K11" s="26"/>
      <c r="L11" s="52" t="str">
        <f t="shared" ref="L11:L14" si="4" xml:space="preserve"> "0"&amp;C11</f>
        <v>0</v>
      </c>
      <c r="M11" s="52"/>
      <c r="N11" s="27" t="e">
        <f>VLOOKUP($M11,#REF!,6,0)</f>
        <v>#REF!</v>
      </c>
      <c r="O11" s="27" t="e">
        <f>VLOOKUP($M11,#REF!,3,0)</f>
        <v>#REF!</v>
      </c>
      <c r="P11" s="43" t="e">
        <f t="shared" si="0"/>
        <v>#REF!</v>
      </c>
      <c r="Q11" s="27" t="e">
        <f>VLOOKUP($M11,#REF!,2,0)</f>
        <v>#REF!</v>
      </c>
      <c r="R11" s="28" t="e">
        <f t="shared" si="3"/>
        <v>#REF!</v>
      </c>
    </row>
    <row r="12" spans="1:18" ht="17.5" thickBot="1">
      <c r="A12" s="51"/>
      <c r="B12" s="44"/>
      <c r="C12" s="62"/>
      <c r="D12" s="59"/>
      <c r="E12" s="62"/>
      <c r="F12" s="25"/>
      <c r="G12" s="30"/>
      <c r="H12" s="29"/>
      <c r="I12" s="26"/>
      <c r="J12" s="25"/>
      <c r="K12" s="26"/>
      <c r="L12" s="52" t="str">
        <f t="shared" si="4"/>
        <v>0</v>
      </c>
      <c r="M12" s="52"/>
      <c r="N12" s="27" t="e">
        <f>VLOOKUP($M12,#REF!,6,0)</f>
        <v>#REF!</v>
      </c>
      <c r="O12" s="27" t="e">
        <f>VLOOKUP($M12,#REF!,3,0)</f>
        <v>#REF!</v>
      </c>
      <c r="P12" s="43" t="e">
        <f t="shared" si="0"/>
        <v>#REF!</v>
      </c>
      <c r="Q12" s="27" t="e">
        <f>VLOOKUP($M12,#REF!,2,0)</f>
        <v>#REF!</v>
      </c>
      <c r="R12" s="28" t="e">
        <f t="shared" si="3"/>
        <v>#REF!</v>
      </c>
    </row>
    <row r="13" spans="1:18" ht="17.5" thickBot="1">
      <c r="A13" s="51"/>
      <c r="B13" s="25"/>
      <c r="C13" s="62"/>
      <c r="D13" s="59"/>
      <c r="E13" s="62"/>
      <c r="F13" s="25"/>
      <c r="G13" s="30"/>
      <c r="H13" s="29"/>
      <c r="I13" s="26"/>
      <c r="J13" s="25"/>
      <c r="K13" s="26"/>
      <c r="L13" s="52" t="str">
        <f t="shared" si="4"/>
        <v>0</v>
      </c>
      <c r="M13" s="52"/>
      <c r="N13" s="27" t="e">
        <f>VLOOKUP($M13,#REF!,6,0)</f>
        <v>#REF!</v>
      </c>
      <c r="O13" s="27" t="e">
        <f>VLOOKUP($M13,#REF!,3,0)</f>
        <v>#REF!</v>
      </c>
      <c r="P13" s="43" t="e">
        <f t="shared" si="0"/>
        <v>#REF!</v>
      </c>
      <c r="Q13" s="27" t="e">
        <f>VLOOKUP($M13,#REF!,2,0)</f>
        <v>#REF!</v>
      </c>
      <c r="R13" s="28" t="e">
        <f t="shared" si="3"/>
        <v>#REF!</v>
      </c>
    </row>
    <row r="14" spans="1:18" ht="17.5" thickBot="1">
      <c r="A14" s="51"/>
      <c r="B14" s="25"/>
      <c r="C14" s="62"/>
      <c r="D14" s="59"/>
      <c r="E14" s="62"/>
      <c r="F14" s="25"/>
      <c r="G14" s="30"/>
      <c r="H14" s="29"/>
      <c r="I14" s="26"/>
      <c r="J14" s="25"/>
      <c r="K14" s="26"/>
      <c r="L14" s="52" t="str">
        <f t="shared" si="4"/>
        <v>0</v>
      </c>
      <c r="M14" s="52"/>
      <c r="N14" s="27" t="e">
        <f>VLOOKUP($M14,#REF!,6,0)</f>
        <v>#REF!</v>
      </c>
      <c r="O14" s="27" t="e">
        <f>VLOOKUP($M14,#REF!,3,0)</f>
        <v>#REF!</v>
      </c>
      <c r="P14" s="43" t="e">
        <f t="shared" si="0"/>
        <v>#REF!</v>
      </c>
      <c r="Q14" s="27" t="e">
        <f>VLOOKUP($M14,#REF!,2,0)</f>
        <v>#REF!</v>
      </c>
      <c r="R14" s="28" t="e">
        <f t="shared" si="3"/>
        <v>#REF!</v>
      </c>
    </row>
    <row r="15" spans="1:18" ht="17.5" thickBot="1">
      <c r="A15" s="51"/>
      <c r="B15" s="25"/>
      <c r="C15" s="62"/>
      <c r="D15" s="59"/>
      <c r="E15" s="62"/>
      <c r="F15" s="25"/>
      <c r="G15" s="30"/>
      <c r="H15" s="26"/>
      <c r="I15" s="26"/>
      <c r="J15" s="25"/>
      <c r="K15" s="26"/>
      <c r="L15" s="52"/>
      <c r="M15" s="52"/>
      <c r="N15" s="27"/>
      <c r="O15" s="27"/>
      <c r="P15" s="43"/>
      <c r="Q15" s="27"/>
      <c r="R15" s="28"/>
    </row>
    <row r="16" spans="1:18" ht="17.5" thickBot="1">
      <c r="A16" s="51"/>
      <c r="B16" s="25"/>
      <c r="C16" s="62"/>
      <c r="D16" s="59"/>
      <c r="E16" s="62"/>
      <c r="F16" s="25"/>
      <c r="G16" s="30"/>
      <c r="H16" s="29"/>
      <c r="I16" s="29"/>
      <c r="J16" s="25"/>
      <c r="K16" s="26"/>
      <c r="L16" s="52"/>
      <c r="M16" s="52"/>
      <c r="N16" s="27"/>
      <c r="O16" s="27"/>
      <c r="P16" s="43"/>
      <c r="Q16" s="27"/>
      <c r="R16" s="28"/>
    </row>
    <row r="17" spans="1:18" ht="17.5" thickBot="1">
      <c r="A17" s="51"/>
      <c r="B17" s="25"/>
      <c r="C17" s="62"/>
      <c r="D17" s="59"/>
      <c r="E17" s="62"/>
      <c r="F17" s="25"/>
      <c r="G17" s="30"/>
      <c r="H17" s="26"/>
      <c r="I17" s="26"/>
      <c r="J17" s="25"/>
      <c r="K17" s="26"/>
      <c r="L17" s="52"/>
      <c r="M17" s="52"/>
      <c r="N17" s="27"/>
      <c r="O17" s="27"/>
      <c r="P17" s="43"/>
      <c r="Q17" s="27"/>
      <c r="R17" s="28"/>
    </row>
    <row r="18" spans="1:18" ht="17.5" thickBot="1">
      <c r="A18" s="51"/>
      <c r="B18" s="25"/>
      <c r="C18" s="62"/>
      <c r="D18" s="59"/>
      <c r="E18" s="62"/>
      <c r="F18" s="25"/>
      <c r="G18" s="30"/>
      <c r="H18" s="26"/>
      <c r="I18" s="26"/>
      <c r="J18" s="25"/>
      <c r="K18" s="26"/>
      <c r="L18" s="52"/>
      <c r="M18" s="52"/>
      <c r="N18" s="27"/>
      <c r="O18" s="27"/>
      <c r="P18" s="43"/>
      <c r="Q18" s="27"/>
      <c r="R18" s="28"/>
    </row>
    <row r="19" spans="1:18" ht="17.5" thickBot="1">
      <c r="A19" s="51"/>
      <c r="B19" s="25"/>
      <c r="C19" s="62"/>
      <c r="D19" s="59"/>
      <c r="E19" s="62"/>
      <c r="F19" s="25"/>
      <c r="G19" s="30"/>
      <c r="H19" s="26"/>
      <c r="I19" s="26"/>
      <c r="J19" s="25"/>
      <c r="K19" s="26"/>
      <c r="L19" s="52"/>
      <c r="M19" s="52"/>
      <c r="N19" s="27"/>
      <c r="O19" s="27"/>
      <c r="P19" s="43"/>
      <c r="Q19" s="27"/>
      <c r="R19" s="28"/>
    </row>
    <row r="20" spans="1:18" ht="17.5" thickBot="1">
      <c r="A20" s="51"/>
      <c r="B20" s="25"/>
      <c r="C20" s="62"/>
      <c r="D20" s="59"/>
      <c r="E20" s="62"/>
      <c r="F20" s="25"/>
      <c r="G20" s="30"/>
      <c r="H20" s="26"/>
      <c r="I20" s="26"/>
      <c r="J20" s="25"/>
      <c r="K20" s="26"/>
      <c r="L20" s="52"/>
      <c r="M20" s="52"/>
      <c r="N20" s="27"/>
      <c r="O20" s="27"/>
      <c r="P20" s="43"/>
      <c r="Q20" s="27"/>
      <c r="R20" s="28"/>
    </row>
    <row r="21" spans="1:18" ht="17.5" thickBot="1">
      <c r="A21" s="51"/>
      <c r="B21" s="25"/>
      <c r="C21" s="62"/>
      <c r="D21" s="59"/>
      <c r="E21" s="62"/>
      <c r="F21" s="25"/>
      <c r="G21" s="30"/>
      <c r="H21" s="26"/>
      <c r="I21" s="26"/>
      <c r="J21" s="56"/>
      <c r="K21" s="26"/>
      <c r="L21" s="52"/>
      <c r="M21" s="52"/>
      <c r="N21" s="27"/>
      <c r="O21" s="27"/>
      <c r="P21" s="43"/>
      <c r="Q21" s="27"/>
      <c r="R21" s="28"/>
    </row>
    <row r="22" spans="1:18" ht="17.5" thickBot="1">
      <c r="A22" s="51"/>
      <c r="B22" s="25"/>
      <c r="C22" s="62"/>
      <c r="D22" s="59"/>
      <c r="E22" s="62"/>
      <c r="F22" s="25"/>
      <c r="G22" s="30"/>
      <c r="H22" s="26"/>
      <c r="I22" s="26"/>
      <c r="J22" s="25"/>
      <c r="K22" s="26"/>
      <c r="L22" s="52"/>
      <c r="M22" s="52"/>
      <c r="N22" s="27"/>
      <c r="O22" s="27"/>
      <c r="P22" s="43"/>
      <c r="Q22" s="27"/>
      <c r="R22" s="28"/>
    </row>
    <row r="23" spans="1:18" ht="17.5" thickBot="1">
      <c r="A23" s="51"/>
      <c r="B23" s="25"/>
      <c r="C23" s="62"/>
      <c r="D23" s="59"/>
      <c r="E23" s="62"/>
      <c r="F23" s="25"/>
      <c r="G23" s="30"/>
      <c r="H23" s="26"/>
      <c r="I23" s="26"/>
      <c r="J23" s="25"/>
      <c r="K23" s="26"/>
      <c r="L23" s="52"/>
      <c r="M23" s="52"/>
      <c r="N23" s="27"/>
      <c r="O23" s="27"/>
      <c r="P23" s="43"/>
      <c r="Q23" s="27"/>
      <c r="R23" s="28"/>
    </row>
    <row r="24" spans="1:18" ht="17.5" thickBot="1">
      <c r="A24" s="51"/>
      <c r="B24" s="25"/>
      <c r="C24" s="62"/>
      <c r="D24" s="59"/>
      <c r="E24" s="62"/>
      <c r="F24" s="25"/>
      <c r="G24" s="30"/>
      <c r="H24" s="26"/>
      <c r="I24" s="26"/>
      <c r="J24" s="25"/>
      <c r="K24" s="26"/>
      <c r="L24" s="52"/>
      <c r="M24" s="52"/>
      <c r="N24" s="27"/>
      <c r="O24" s="27"/>
      <c r="P24" s="43"/>
      <c r="Q24" s="27"/>
      <c r="R24" s="28"/>
    </row>
    <row r="25" spans="1:18" ht="17.5" thickBot="1">
      <c r="A25" s="51"/>
      <c r="B25" s="44"/>
      <c r="C25" s="62"/>
      <c r="D25" s="59"/>
      <c r="E25" s="62"/>
      <c r="F25" s="25"/>
      <c r="G25" s="30"/>
      <c r="H25" s="29"/>
      <c r="I25" s="29"/>
      <c r="J25" s="25"/>
      <c r="K25" s="26"/>
      <c r="L25" s="52"/>
      <c r="M25" s="52"/>
      <c r="N25" s="27"/>
      <c r="O25" s="27"/>
      <c r="P25" s="43"/>
      <c r="Q25" s="27"/>
      <c r="R25" s="28"/>
    </row>
    <row r="26" spans="1:18" ht="25.5" customHeight="1" thickBot="1">
      <c r="A26" s="51"/>
      <c r="B26" s="44"/>
      <c r="C26" s="62"/>
      <c r="D26" s="59"/>
      <c r="E26" s="62"/>
      <c r="F26" s="25"/>
      <c r="G26" s="30"/>
      <c r="H26" s="29"/>
      <c r="I26" s="29"/>
      <c r="J26" s="25"/>
      <c r="K26" s="26"/>
      <c r="L26" s="52"/>
      <c r="M26" s="52"/>
      <c r="N26" s="27"/>
      <c r="O26" s="27"/>
      <c r="P26" s="43"/>
      <c r="Q26" s="27"/>
      <c r="R26" s="28"/>
    </row>
    <row r="27" spans="1:18" ht="25.5" customHeight="1" thickBot="1">
      <c r="A27" s="51"/>
      <c r="B27" s="25"/>
      <c r="C27" s="62"/>
      <c r="D27" s="59"/>
      <c r="E27" s="62"/>
      <c r="F27" s="25"/>
      <c r="G27" s="30"/>
      <c r="H27" s="29"/>
      <c r="I27" s="29"/>
      <c r="J27" s="25"/>
      <c r="K27" s="26"/>
      <c r="L27" s="52"/>
      <c r="M27" s="52"/>
      <c r="N27" s="27"/>
      <c r="O27" s="27"/>
      <c r="P27" s="43"/>
      <c r="Q27" s="27"/>
      <c r="R27" s="28"/>
    </row>
    <row r="28" spans="1:18" ht="25.5" customHeight="1" thickBot="1">
      <c r="A28" s="51"/>
      <c r="B28" s="44"/>
      <c r="C28" s="62"/>
      <c r="D28" s="59"/>
      <c r="E28" s="62"/>
      <c r="F28" s="25"/>
      <c r="G28" s="30"/>
      <c r="H28" s="26"/>
      <c r="I28" s="26"/>
      <c r="J28" s="25"/>
      <c r="K28" s="26"/>
      <c r="L28" s="52"/>
      <c r="M28" s="52"/>
      <c r="N28" s="27"/>
      <c r="O28" s="27"/>
      <c r="P28" s="43"/>
      <c r="Q28" s="27"/>
      <c r="R28" s="28"/>
    </row>
    <row r="29" spans="1:18" ht="25.65" customHeight="1" thickBot="1">
      <c r="A29" s="51"/>
      <c r="B29" s="25"/>
      <c r="C29" s="62"/>
      <c r="D29" s="59"/>
      <c r="E29" s="62"/>
      <c r="F29" s="25"/>
      <c r="G29" s="30"/>
      <c r="H29" s="26"/>
      <c r="I29" s="26"/>
      <c r="J29" s="25"/>
      <c r="K29" s="26"/>
      <c r="L29" s="52"/>
      <c r="M29" s="52"/>
      <c r="N29" s="27"/>
      <c r="O29" s="27"/>
      <c r="P29" s="43"/>
      <c r="Q29" s="27"/>
      <c r="R29" s="28"/>
    </row>
    <row r="30" spans="1:18" ht="25.5" customHeight="1" thickBot="1">
      <c r="A30" s="51"/>
      <c r="B30" s="25"/>
      <c r="C30" s="62"/>
      <c r="D30" s="59"/>
      <c r="E30" s="62"/>
      <c r="F30" s="25"/>
      <c r="G30" s="30"/>
      <c r="H30" s="26"/>
      <c r="I30" s="26"/>
      <c r="J30" s="25"/>
      <c r="K30" s="26"/>
      <c r="L30" s="52"/>
      <c r="M30" s="52"/>
      <c r="N30" s="27"/>
      <c r="O30" s="27"/>
      <c r="P30" s="43"/>
      <c r="Q30" s="27"/>
      <c r="R30" s="28"/>
    </row>
    <row r="31" spans="1:18" ht="25.5" customHeight="1" thickBot="1">
      <c r="A31" s="51"/>
      <c r="B31" s="25"/>
      <c r="C31" s="62"/>
      <c r="D31" s="59"/>
      <c r="E31" s="62"/>
      <c r="F31" s="25"/>
      <c r="G31" s="30"/>
      <c r="H31" s="26"/>
      <c r="I31" s="26"/>
      <c r="J31" s="25"/>
      <c r="K31" s="26"/>
      <c r="L31" s="52"/>
      <c r="M31" s="52"/>
      <c r="N31" s="27"/>
      <c r="O31" s="27"/>
      <c r="P31" s="43"/>
      <c r="Q31" s="27"/>
      <c r="R31" s="28"/>
    </row>
    <row r="32" spans="1:18" ht="25.5" customHeight="1" thickBot="1">
      <c r="A32" s="51"/>
      <c r="B32" s="25"/>
      <c r="C32" s="62"/>
      <c r="D32" s="59"/>
      <c r="E32" s="62"/>
      <c r="F32" s="25"/>
      <c r="G32" s="30"/>
      <c r="H32" s="26"/>
      <c r="I32" s="26"/>
      <c r="J32" s="25"/>
      <c r="K32" s="26"/>
      <c r="L32" s="52"/>
      <c r="M32" s="52"/>
      <c r="N32" s="27"/>
      <c r="O32" s="27"/>
      <c r="P32" s="43"/>
      <c r="Q32" s="27"/>
      <c r="R32" s="28"/>
    </row>
    <row r="33" spans="1:18" ht="25.5" customHeight="1" thickBot="1">
      <c r="A33" s="51"/>
      <c r="B33" s="25"/>
      <c r="C33" s="62"/>
      <c r="D33" s="59"/>
      <c r="E33" s="62"/>
      <c r="F33" s="25"/>
      <c r="G33" s="30"/>
      <c r="H33" s="26"/>
      <c r="I33" s="26"/>
      <c r="J33" s="25"/>
      <c r="K33" s="26"/>
      <c r="L33" s="52"/>
      <c r="M33" s="52"/>
      <c r="N33" s="27"/>
      <c r="O33" s="27"/>
      <c r="P33" s="43"/>
      <c r="Q33" s="27"/>
      <c r="R33" s="28"/>
    </row>
    <row r="34" spans="1:18" ht="25.5" customHeight="1" thickBot="1">
      <c r="A34" s="51"/>
      <c r="B34" s="25"/>
      <c r="C34" s="62"/>
      <c r="D34" s="59"/>
      <c r="E34" s="62"/>
      <c r="F34" s="25"/>
      <c r="G34" s="30"/>
      <c r="H34" s="26"/>
      <c r="I34" s="26"/>
      <c r="J34" s="25"/>
      <c r="K34" s="26"/>
      <c r="L34" s="52"/>
      <c r="M34" s="52"/>
      <c r="N34" s="27"/>
      <c r="O34" s="27"/>
      <c r="P34" s="43"/>
      <c r="Q34" s="27"/>
      <c r="R34" s="28"/>
    </row>
    <row r="35" spans="1:18" ht="17.5" thickBot="1">
      <c r="A35" s="51"/>
      <c r="B35" s="25"/>
      <c r="C35" s="62"/>
      <c r="D35" s="59"/>
      <c r="E35" s="62"/>
      <c r="F35" s="25"/>
      <c r="G35" s="30"/>
      <c r="H35" s="26"/>
      <c r="I35" s="26"/>
      <c r="J35" s="25"/>
      <c r="K35" s="26"/>
      <c r="L35" s="52"/>
      <c r="M35" s="52"/>
      <c r="N35" s="27"/>
      <c r="O35" s="27"/>
      <c r="P35" s="43"/>
      <c r="Q35" s="27"/>
      <c r="R35" s="28"/>
    </row>
    <row r="36" spans="1:18" ht="20.149999999999999" customHeight="1" thickBot="1">
      <c r="A36" s="51"/>
      <c r="B36" s="25"/>
      <c r="C36" s="62"/>
      <c r="D36" s="59"/>
      <c r="E36" s="62"/>
      <c r="F36" s="25"/>
      <c r="G36" s="30"/>
      <c r="H36" s="26"/>
      <c r="I36" s="26"/>
      <c r="J36" s="25"/>
      <c r="K36" s="26"/>
      <c r="L36" s="52"/>
      <c r="M36" s="52"/>
      <c r="N36" s="27"/>
      <c r="O36" s="27"/>
      <c r="P36" s="43"/>
      <c r="Q36" s="27"/>
      <c r="R36" s="28"/>
    </row>
    <row r="37" spans="1:18" ht="20.149999999999999" customHeight="1" thickBot="1">
      <c r="A37" s="51"/>
      <c r="B37" s="25"/>
      <c r="C37" s="62"/>
      <c r="D37" s="59"/>
      <c r="E37" s="62"/>
      <c r="F37" s="25"/>
      <c r="G37" s="30"/>
      <c r="H37" s="26"/>
      <c r="I37" s="26"/>
      <c r="J37" s="25"/>
      <c r="K37" s="26"/>
      <c r="L37" s="52"/>
      <c r="M37" s="52"/>
      <c r="N37" s="27"/>
      <c r="O37" s="27"/>
      <c r="P37" s="43"/>
      <c r="Q37" s="27"/>
      <c r="R37" s="28"/>
    </row>
    <row r="38" spans="1:18" ht="20.149999999999999" customHeight="1" thickBot="1">
      <c r="A38" s="51"/>
      <c r="B38" s="25"/>
      <c r="C38" s="62"/>
      <c r="D38" s="59"/>
      <c r="E38" s="62"/>
      <c r="F38" s="25"/>
      <c r="G38" s="30"/>
      <c r="H38" s="26"/>
      <c r="I38" s="26"/>
      <c r="J38" s="25"/>
      <c r="K38" s="26"/>
      <c r="L38" s="52"/>
      <c r="M38" s="52"/>
      <c r="N38" s="27"/>
      <c r="O38" s="27"/>
      <c r="P38" s="43"/>
      <c r="Q38" s="27"/>
      <c r="R38" s="28"/>
    </row>
    <row r="39" spans="1:18" ht="20.149999999999999" customHeight="1" thickBot="1">
      <c r="A39" s="51"/>
      <c r="B39" s="25"/>
      <c r="C39" s="62"/>
      <c r="D39" s="59"/>
      <c r="E39" s="62"/>
      <c r="F39" s="25"/>
      <c r="G39" s="30"/>
      <c r="H39" s="29"/>
      <c r="I39" s="29"/>
      <c r="J39" s="25"/>
      <c r="K39" s="26"/>
      <c r="L39" s="52"/>
      <c r="M39" s="52"/>
      <c r="N39" s="27"/>
      <c r="O39" s="27"/>
      <c r="P39" s="43"/>
      <c r="Q39" s="27"/>
      <c r="R39" s="28"/>
    </row>
    <row r="40" spans="1:18" ht="20.149999999999999" customHeight="1" thickBot="1">
      <c r="A40" s="51"/>
      <c r="B40" s="25"/>
      <c r="C40" s="62"/>
      <c r="D40" s="59"/>
      <c r="E40" s="62"/>
      <c r="F40" s="25"/>
      <c r="G40" s="30"/>
      <c r="H40" s="29"/>
      <c r="I40" s="29"/>
      <c r="J40" s="25"/>
      <c r="K40" s="26"/>
      <c r="L40" s="52"/>
      <c r="M40" s="52"/>
      <c r="N40" s="27"/>
      <c r="O40" s="27"/>
      <c r="P40" s="43"/>
      <c r="Q40" s="27"/>
      <c r="R40" s="28"/>
    </row>
    <row r="41" spans="1:18" ht="20.149999999999999" customHeight="1" thickBot="1">
      <c r="A41" s="67"/>
      <c r="B41" s="68"/>
      <c r="C41" s="69"/>
      <c r="D41" s="70"/>
      <c r="E41" s="69"/>
      <c r="F41" s="68"/>
      <c r="G41" s="71"/>
      <c r="H41" s="72"/>
      <c r="I41" s="72"/>
      <c r="J41" s="68"/>
      <c r="K41" s="72"/>
      <c r="L41" s="73"/>
      <c r="M41" s="73"/>
      <c r="N41" s="57"/>
      <c r="O41" s="57"/>
      <c r="P41" s="58"/>
      <c r="Q41" s="27"/>
      <c r="R41" s="28"/>
    </row>
    <row r="42" spans="1:18" ht="20.149999999999999" customHeight="1" thickBot="1">
      <c r="A42" s="51"/>
      <c r="B42" s="25"/>
      <c r="C42" s="62"/>
      <c r="D42" s="59"/>
      <c r="E42" s="62"/>
      <c r="F42" s="25"/>
      <c r="G42" s="30"/>
      <c r="H42" s="26"/>
      <c r="I42" s="26"/>
      <c r="J42" s="25"/>
      <c r="K42" s="26"/>
      <c r="L42" s="52"/>
      <c r="M42" s="52"/>
      <c r="N42" s="27"/>
      <c r="O42" s="27"/>
      <c r="P42" s="43"/>
      <c r="Q42" s="27"/>
      <c r="R42" s="28"/>
    </row>
    <row r="43" spans="1:18" ht="20.149999999999999" customHeight="1" thickBot="1">
      <c r="A43" s="51"/>
      <c r="B43" s="25"/>
      <c r="C43" s="62"/>
      <c r="D43" s="59"/>
      <c r="E43" s="62"/>
      <c r="F43" s="25"/>
      <c r="G43" s="30"/>
      <c r="H43" s="26"/>
      <c r="I43" s="26"/>
      <c r="J43" s="25"/>
      <c r="K43" s="26"/>
      <c r="L43" s="52"/>
      <c r="M43" s="52"/>
      <c r="N43" s="27"/>
      <c r="O43" s="27"/>
      <c r="P43" s="43"/>
      <c r="Q43" s="27"/>
      <c r="R43" s="28"/>
    </row>
    <row r="44" spans="1:18" s="20" customFormat="1" ht="20.149999999999999" customHeight="1" thickBot="1">
      <c r="A44" s="51"/>
      <c r="B44" s="25"/>
      <c r="C44" s="62"/>
      <c r="D44" s="59"/>
      <c r="E44" s="62"/>
      <c r="F44" s="25"/>
      <c r="G44" s="30"/>
      <c r="H44" s="26"/>
      <c r="I44" s="26"/>
      <c r="J44" s="25"/>
      <c r="K44" s="26"/>
      <c r="L44" s="52"/>
      <c r="M44" s="52"/>
      <c r="N44" s="27"/>
      <c r="O44" s="27"/>
      <c r="P44" s="43"/>
      <c r="Q44" s="27"/>
      <c r="R44" s="28"/>
    </row>
    <row r="45" spans="1:18" ht="20.149999999999999" customHeight="1" thickBot="1">
      <c r="A45" s="51"/>
      <c r="B45" s="25"/>
      <c r="C45" s="62"/>
      <c r="D45" s="59"/>
      <c r="E45" s="62"/>
      <c r="F45" s="25"/>
      <c r="G45" s="30"/>
      <c r="H45" s="26"/>
      <c r="I45" s="26"/>
      <c r="J45" s="25"/>
      <c r="K45" s="26"/>
      <c r="L45" s="52"/>
      <c r="M45" s="52"/>
      <c r="N45" s="27"/>
      <c r="O45" s="27"/>
      <c r="P45" s="43"/>
      <c r="Q45" s="27"/>
      <c r="R45" s="28"/>
    </row>
    <row r="46" spans="1:18" ht="17.5" thickBot="1">
      <c r="A46" s="51"/>
      <c r="B46" s="25"/>
      <c r="C46" s="62"/>
      <c r="D46" s="59"/>
      <c r="E46" s="62"/>
      <c r="F46" s="25"/>
      <c r="G46" s="30"/>
      <c r="H46" s="29"/>
      <c r="I46" s="29"/>
      <c r="J46" s="25"/>
      <c r="K46" s="26"/>
      <c r="L46" s="52"/>
      <c r="M46" s="52"/>
      <c r="N46" s="27"/>
      <c r="O46" s="27"/>
      <c r="P46" s="43"/>
      <c r="Q46" s="27"/>
      <c r="R46" s="28"/>
    </row>
    <row r="47" spans="1:18" ht="17.5" thickBot="1">
      <c r="A47" s="51"/>
      <c r="B47" s="25"/>
      <c r="C47" s="62"/>
      <c r="D47" s="59"/>
      <c r="E47" s="62"/>
      <c r="F47" s="25"/>
      <c r="G47" s="30"/>
      <c r="H47" s="29"/>
      <c r="I47" s="29"/>
      <c r="J47" s="25"/>
      <c r="K47" s="26"/>
      <c r="L47" s="52"/>
      <c r="M47" s="52"/>
      <c r="N47" s="27"/>
      <c r="O47" s="27"/>
      <c r="P47" s="43"/>
      <c r="Q47" s="27"/>
      <c r="R47" s="28"/>
    </row>
    <row r="48" spans="1:18" ht="17.5" thickBot="1">
      <c r="A48" s="51"/>
      <c r="B48" s="25"/>
      <c r="C48" s="62"/>
      <c r="D48" s="59"/>
      <c r="E48" s="62"/>
      <c r="F48" s="25"/>
      <c r="G48" s="30"/>
      <c r="H48" s="29"/>
      <c r="I48" s="29"/>
      <c r="J48" s="25"/>
      <c r="K48" s="26"/>
      <c r="L48" s="52"/>
      <c r="M48" s="52"/>
      <c r="N48" s="27"/>
      <c r="O48" s="27"/>
      <c r="P48" s="43"/>
      <c r="Q48" s="27"/>
      <c r="R48" s="28"/>
    </row>
    <row r="49" spans="1:18" ht="17.5" thickBot="1">
      <c r="A49" s="51"/>
      <c r="B49" s="44"/>
      <c r="C49" s="62"/>
      <c r="D49" s="59"/>
      <c r="E49" s="62"/>
      <c r="F49" s="25"/>
      <c r="G49" s="30"/>
      <c r="H49" s="29"/>
      <c r="I49" s="29"/>
      <c r="J49" s="25"/>
      <c r="K49" s="26"/>
      <c r="L49" s="52"/>
      <c r="M49" s="52"/>
      <c r="N49" s="27"/>
      <c r="O49" s="27"/>
      <c r="P49" s="43"/>
      <c r="Q49" s="27"/>
      <c r="R49" s="28"/>
    </row>
    <row r="50" spans="1:18" ht="17.5" thickBot="1">
      <c r="A50" s="51"/>
      <c r="B50" s="25"/>
      <c r="C50" s="62"/>
      <c r="D50" s="59"/>
      <c r="E50" s="62"/>
      <c r="F50" s="25"/>
      <c r="G50" s="30"/>
      <c r="H50" s="29"/>
      <c r="I50" s="29"/>
      <c r="J50" s="25"/>
      <c r="K50" s="26"/>
      <c r="L50" s="52"/>
      <c r="M50" s="52"/>
      <c r="N50" s="27"/>
      <c r="O50" s="27"/>
      <c r="P50" s="43"/>
      <c r="Q50" s="27"/>
      <c r="R50" s="28"/>
    </row>
    <row r="51" spans="1:18" ht="17.5" thickBot="1">
      <c r="A51" s="51"/>
      <c r="B51" s="25"/>
      <c r="C51" s="62"/>
      <c r="D51" s="59"/>
      <c r="E51" s="62"/>
      <c r="F51" s="25"/>
      <c r="G51" s="30"/>
      <c r="H51" s="29"/>
      <c r="I51" s="29"/>
      <c r="J51" s="25"/>
      <c r="K51" s="26"/>
      <c r="L51" s="52"/>
      <c r="M51" s="52"/>
      <c r="N51" s="27"/>
      <c r="O51" s="27"/>
      <c r="P51" s="43"/>
      <c r="Q51" s="27"/>
      <c r="R51" s="28"/>
    </row>
    <row r="52" spans="1:18" ht="17.5" thickBot="1">
      <c r="A52" s="51"/>
      <c r="B52" s="25"/>
      <c r="C52" s="62"/>
      <c r="D52" s="59"/>
      <c r="E52" s="62"/>
      <c r="F52" s="25"/>
      <c r="G52" s="30"/>
      <c r="H52" s="29"/>
      <c r="I52" s="29"/>
      <c r="J52" s="25"/>
      <c r="K52" s="26"/>
      <c r="L52" s="52"/>
      <c r="M52" s="52"/>
      <c r="N52" s="27"/>
      <c r="O52" s="27"/>
      <c r="P52" s="43"/>
      <c r="Q52" s="27"/>
      <c r="R52" s="28"/>
    </row>
    <row r="53" spans="1:18" ht="17.5" thickBot="1">
      <c r="A53" s="51"/>
      <c r="B53" s="25"/>
      <c r="C53" s="62"/>
      <c r="D53" s="59"/>
      <c r="E53" s="62"/>
      <c r="F53" s="25"/>
      <c r="G53" s="30"/>
      <c r="H53" s="29"/>
      <c r="I53" s="29"/>
      <c r="J53" s="25"/>
      <c r="K53" s="26"/>
      <c r="L53" s="52"/>
      <c r="M53" s="52"/>
      <c r="N53" s="27"/>
      <c r="O53" s="27"/>
      <c r="P53" s="43"/>
      <c r="Q53" s="27"/>
      <c r="R53" s="28"/>
    </row>
    <row r="54" spans="1:18" ht="17.5" thickBot="1">
      <c r="A54" s="51"/>
      <c r="B54" s="25"/>
      <c r="C54" s="62"/>
      <c r="D54" s="59"/>
      <c r="E54" s="62"/>
      <c r="F54" s="25"/>
      <c r="G54" s="30"/>
      <c r="H54" s="29"/>
      <c r="I54" s="29"/>
      <c r="J54" s="25"/>
      <c r="K54" s="26"/>
      <c r="L54" s="52"/>
      <c r="M54" s="52"/>
      <c r="N54" s="27"/>
      <c r="O54" s="27"/>
      <c r="P54" s="43"/>
      <c r="Q54" s="27"/>
      <c r="R54" s="28"/>
    </row>
    <row r="55" spans="1:18" ht="17.5" thickBot="1">
      <c r="A55" s="51"/>
      <c r="B55" s="25"/>
      <c r="C55" s="62"/>
      <c r="D55" s="59"/>
      <c r="E55" s="62"/>
      <c r="F55" s="25"/>
      <c r="G55" s="30"/>
      <c r="H55" s="29"/>
      <c r="I55" s="29"/>
      <c r="J55" s="25"/>
      <c r="K55" s="26"/>
      <c r="L55" s="52"/>
      <c r="M55" s="52"/>
      <c r="N55" s="27"/>
      <c r="O55" s="27"/>
      <c r="P55" s="43"/>
      <c r="Q55" s="27"/>
      <c r="R55" s="28"/>
    </row>
    <row r="56" spans="1:18" ht="17.5" thickBot="1">
      <c r="A56" s="51"/>
      <c r="B56" s="25"/>
      <c r="C56" s="62"/>
      <c r="D56" s="59"/>
      <c r="E56" s="62"/>
      <c r="F56" s="25"/>
      <c r="G56" s="30"/>
      <c r="H56" s="29"/>
      <c r="I56" s="29"/>
      <c r="J56" s="25"/>
      <c r="K56" s="26"/>
      <c r="L56" s="52"/>
      <c r="N56" s="27"/>
      <c r="O56" s="27"/>
      <c r="P56" s="43"/>
      <c r="Q56" s="27"/>
      <c r="R56" s="28"/>
    </row>
    <row r="57" spans="1:18" ht="17.5" thickBot="1">
      <c r="A57" s="67"/>
      <c r="B57" s="68"/>
      <c r="C57" s="69"/>
      <c r="D57" s="70"/>
      <c r="E57" s="69"/>
      <c r="F57" s="68"/>
      <c r="G57" s="71"/>
      <c r="H57" s="74"/>
      <c r="I57" s="74"/>
      <c r="J57" s="68"/>
      <c r="K57" s="72"/>
      <c r="L57" s="73"/>
      <c r="M57" s="75"/>
      <c r="N57" s="57"/>
      <c r="O57" s="57"/>
      <c r="P57" s="58"/>
      <c r="Q57" s="27"/>
      <c r="R57" s="28"/>
    </row>
    <row r="58" spans="1:18" ht="17.5" thickBot="1">
      <c r="A58" s="51"/>
      <c r="B58" s="25"/>
      <c r="C58" s="62"/>
      <c r="D58" s="59"/>
      <c r="E58" s="62"/>
      <c r="F58" s="25"/>
      <c r="G58" s="30"/>
      <c r="H58" s="29"/>
      <c r="I58" s="29"/>
      <c r="J58" s="25"/>
      <c r="K58" s="26"/>
      <c r="L58" s="52"/>
      <c r="N58" s="27"/>
      <c r="O58" s="27"/>
      <c r="P58" s="43"/>
      <c r="Q58" s="27"/>
      <c r="R58" s="28"/>
    </row>
    <row r="59" spans="1:18" ht="17.5" thickBot="1">
      <c r="A59" s="51"/>
      <c r="B59" s="44"/>
      <c r="C59" s="62"/>
      <c r="D59" s="59"/>
      <c r="E59" s="62"/>
      <c r="F59" s="25"/>
      <c r="G59" s="30"/>
      <c r="H59" s="29"/>
      <c r="I59" s="29"/>
      <c r="J59" s="25"/>
      <c r="K59" s="26"/>
      <c r="L59" s="52"/>
      <c r="N59" s="27"/>
      <c r="O59" s="27"/>
      <c r="P59" s="43"/>
      <c r="Q59" s="27"/>
      <c r="R59" s="28"/>
    </row>
    <row r="60" spans="1:18" ht="17.5" thickBot="1">
      <c r="A60" s="51"/>
      <c r="B60" s="44"/>
      <c r="C60" s="62"/>
      <c r="D60" s="59"/>
      <c r="E60" s="62"/>
      <c r="F60" s="25"/>
      <c r="G60" s="30"/>
      <c r="H60" s="29"/>
      <c r="I60" s="29"/>
      <c r="J60" s="25"/>
      <c r="K60" s="26"/>
      <c r="L60" s="52"/>
      <c r="N60" s="27"/>
      <c r="O60" s="27"/>
      <c r="P60" s="43"/>
      <c r="Q60" s="27"/>
      <c r="R60" s="28"/>
    </row>
    <row r="61" spans="1:18" ht="17.5" thickBot="1">
      <c r="A61" s="51"/>
      <c r="B61" s="44"/>
      <c r="C61" s="62"/>
      <c r="D61" s="59"/>
      <c r="E61" s="62"/>
      <c r="F61" s="25"/>
      <c r="G61" s="30"/>
      <c r="H61" s="29"/>
      <c r="I61" s="29"/>
      <c r="J61" s="25"/>
      <c r="K61" s="26"/>
      <c r="L61" s="52"/>
      <c r="N61" s="27"/>
      <c r="O61" s="27"/>
      <c r="P61" s="43"/>
      <c r="Q61" s="27"/>
      <c r="R61" s="28"/>
    </row>
    <row r="62" spans="1:18" ht="17.5" thickBot="1">
      <c r="A62" s="51"/>
      <c r="B62" s="44"/>
      <c r="C62" s="62"/>
      <c r="D62" s="59"/>
      <c r="E62" s="62"/>
      <c r="F62" s="25"/>
      <c r="G62" s="30"/>
      <c r="H62" s="29"/>
      <c r="I62" s="29"/>
      <c r="J62" s="25"/>
      <c r="K62" s="26"/>
      <c r="L62" s="52"/>
      <c r="N62" s="27"/>
      <c r="O62" s="27"/>
      <c r="P62" s="43"/>
      <c r="Q62" s="27"/>
      <c r="R62" s="28"/>
    </row>
    <row r="63" spans="1:18" ht="17.5" thickBot="1">
      <c r="A63" s="51"/>
      <c r="B63" s="44"/>
      <c r="C63" s="62"/>
      <c r="D63" s="59"/>
      <c r="E63" s="62"/>
      <c r="F63" s="25"/>
      <c r="G63" s="30"/>
      <c r="H63" s="29"/>
      <c r="I63" s="29"/>
      <c r="J63" s="25"/>
      <c r="K63" s="26"/>
      <c r="L63" s="52"/>
      <c r="N63" s="27"/>
      <c r="O63" s="27"/>
      <c r="P63" s="43"/>
      <c r="Q63" s="27"/>
      <c r="R63" s="28"/>
    </row>
    <row r="64" spans="1:18" ht="17.5" thickBot="1">
      <c r="A64" s="51"/>
      <c r="B64" s="44"/>
      <c r="C64" s="62"/>
      <c r="D64" s="59"/>
      <c r="E64" s="62"/>
      <c r="F64" s="25"/>
      <c r="G64" s="30"/>
      <c r="H64" s="29"/>
      <c r="I64" s="29"/>
      <c r="J64" s="25"/>
      <c r="K64" s="26"/>
      <c r="L64" s="52"/>
      <c r="N64" s="27"/>
      <c r="O64" s="27"/>
      <c r="P64" s="43"/>
      <c r="Q64" s="27"/>
      <c r="R64" s="28"/>
    </row>
    <row r="65" spans="1:18" ht="17.5" thickBot="1">
      <c r="A65" s="51"/>
      <c r="B65" s="44"/>
      <c r="C65" s="62"/>
      <c r="D65" s="59"/>
      <c r="E65" s="62"/>
      <c r="F65" s="25"/>
      <c r="G65" s="30"/>
      <c r="H65" s="26"/>
      <c r="I65" s="26"/>
      <c r="J65" s="25"/>
      <c r="K65" s="26"/>
      <c r="L65" s="52"/>
      <c r="N65" s="27"/>
      <c r="O65" s="27"/>
      <c r="P65" s="43"/>
      <c r="Q65" s="27"/>
      <c r="R65" s="28"/>
    </row>
    <row r="66" spans="1:18" ht="17.5" thickBot="1">
      <c r="A66" s="67"/>
      <c r="B66" s="76"/>
      <c r="C66" s="69"/>
      <c r="D66" s="70"/>
      <c r="E66" s="69"/>
      <c r="F66" s="68"/>
      <c r="G66" s="71"/>
      <c r="H66" s="72"/>
      <c r="I66" s="72"/>
      <c r="J66" s="68"/>
      <c r="K66" s="72"/>
      <c r="L66" s="73"/>
      <c r="M66" s="75"/>
      <c r="N66" s="57"/>
      <c r="O66" s="57"/>
      <c r="P66" s="58"/>
      <c r="Q66" s="27"/>
      <c r="R66" s="28"/>
    </row>
    <row r="67" spans="1:18" ht="17.5" thickBot="1">
      <c r="A67" s="51"/>
      <c r="B67" s="44"/>
      <c r="C67" s="62"/>
      <c r="D67" s="59"/>
      <c r="E67" s="62"/>
      <c r="F67" s="25"/>
      <c r="G67" s="30"/>
      <c r="H67" s="29"/>
      <c r="I67" s="29"/>
      <c r="J67" s="25"/>
      <c r="K67" s="26"/>
      <c r="L67" s="52"/>
      <c r="M67" s="49"/>
      <c r="N67" s="50"/>
      <c r="O67" s="27"/>
      <c r="P67" s="43"/>
      <c r="Q67" s="27"/>
      <c r="R67" s="28"/>
    </row>
    <row r="68" spans="1:18" ht="17.5" thickBot="1">
      <c r="A68" s="51"/>
      <c r="B68" s="44"/>
      <c r="C68" s="62"/>
      <c r="D68" s="59"/>
      <c r="E68" s="62"/>
      <c r="F68" s="25"/>
      <c r="G68" s="30"/>
      <c r="H68" s="26"/>
      <c r="I68" s="26"/>
      <c r="J68" s="25"/>
      <c r="K68" s="26"/>
      <c r="L68" s="52"/>
      <c r="M68" s="49"/>
      <c r="N68" s="50"/>
      <c r="O68" s="27"/>
      <c r="P68" s="43"/>
      <c r="Q68" s="27"/>
      <c r="R68" s="28"/>
    </row>
    <row r="69" spans="1:18" ht="17.5" thickBot="1">
      <c r="A69" s="51"/>
      <c r="B69" s="44"/>
      <c r="C69" s="62"/>
      <c r="D69" s="59"/>
      <c r="E69" s="62"/>
      <c r="F69" s="25"/>
      <c r="G69" s="30"/>
      <c r="H69" s="26"/>
      <c r="I69" s="26"/>
      <c r="J69" s="25"/>
      <c r="K69" s="26"/>
      <c r="L69" s="52"/>
      <c r="M69" s="49"/>
      <c r="N69" s="50"/>
      <c r="O69" s="27"/>
      <c r="P69" s="43"/>
      <c r="Q69" s="27"/>
      <c r="R69" s="28"/>
    </row>
    <row r="70" spans="1:18" ht="17.5" thickBot="1">
      <c r="A70" s="51"/>
      <c r="B70" s="44"/>
      <c r="C70" s="62"/>
      <c r="D70" s="59"/>
      <c r="E70" s="45"/>
      <c r="F70" s="25"/>
      <c r="G70" s="30"/>
      <c r="H70" s="29"/>
      <c r="I70" s="29"/>
      <c r="J70" s="25"/>
      <c r="K70" s="26"/>
      <c r="L70" s="52"/>
      <c r="M70" s="49"/>
      <c r="N70" s="50"/>
      <c r="O70" s="27"/>
      <c r="P70" s="43"/>
      <c r="Q70" s="27"/>
      <c r="R70" s="28"/>
    </row>
    <row r="71" spans="1:18" ht="17.5" thickBot="1">
      <c r="A71" s="51"/>
      <c r="B71" s="44"/>
      <c r="C71" s="62"/>
      <c r="D71" s="59"/>
      <c r="E71" s="62"/>
      <c r="F71" s="25"/>
      <c r="G71" s="30"/>
      <c r="H71" s="29"/>
      <c r="I71" s="29"/>
      <c r="J71" s="25"/>
      <c r="K71" s="26"/>
      <c r="L71" s="52"/>
      <c r="M71" s="49"/>
      <c r="N71" s="50"/>
      <c r="O71" s="27"/>
      <c r="P71" s="43"/>
      <c r="Q71" s="27"/>
      <c r="R71" s="28"/>
    </row>
    <row r="72" spans="1:18" ht="17.5" thickBot="1">
      <c r="A72" s="51"/>
      <c r="B72" s="44"/>
      <c r="C72" s="62"/>
      <c r="D72" s="59"/>
      <c r="E72" s="62"/>
      <c r="F72" s="25"/>
      <c r="G72" s="30"/>
      <c r="H72" s="29"/>
      <c r="I72" s="29"/>
      <c r="J72" s="25"/>
      <c r="K72" s="26"/>
      <c r="L72" s="52"/>
      <c r="M72" s="49"/>
      <c r="N72" s="50"/>
      <c r="O72" s="27"/>
      <c r="P72" s="43"/>
      <c r="Q72" s="27"/>
      <c r="R72" s="28"/>
    </row>
    <row r="73" spans="1:18" ht="17.5" thickBot="1">
      <c r="A73" s="67"/>
      <c r="B73" s="76"/>
      <c r="C73" s="69"/>
      <c r="D73" s="70"/>
      <c r="E73" s="69"/>
      <c r="F73" s="68"/>
      <c r="G73" s="71"/>
      <c r="H73" s="74"/>
      <c r="I73" s="74"/>
      <c r="J73" s="68"/>
      <c r="K73" s="72"/>
      <c r="L73" s="73"/>
      <c r="M73" s="77"/>
      <c r="N73" s="78"/>
      <c r="O73" s="57"/>
      <c r="P73" s="58"/>
      <c r="Q73" s="27"/>
      <c r="R73" s="28"/>
    </row>
    <row r="74" spans="1:18" ht="17.5" thickBot="1">
      <c r="A74" s="51"/>
      <c r="B74" s="44"/>
      <c r="C74" s="62"/>
      <c r="D74" s="59"/>
      <c r="E74" s="62"/>
      <c r="F74" s="25"/>
      <c r="G74" s="30"/>
      <c r="H74" s="29"/>
      <c r="I74" s="29"/>
      <c r="J74" s="25"/>
      <c r="K74" s="26"/>
      <c r="L74" s="52"/>
      <c r="M74" s="49"/>
      <c r="N74" s="50"/>
      <c r="O74" s="27"/>
      <c r="P74" s="43"/>
      <c r="Q74" s="27"/>
      <c r="R74" s="28"/>
    </row>
    <row r="75" spans="1:18" ht="17.5" thickBot="1">
      <c r="A75" s="51"/>
      <c r="B75" s="44"/>
      <c r="C75" s="62"/>
      <c r="D75" s="59"/>
      <c r="E75" s="62"/>
      <c r="F75" s="25"/>
      <c r="G75" s="30"/>
      <c r="H75" s="29"/>
      <c r="I75" s="29"/>
      <c r="J75" s="25"/>
      <c r="K75" s="26"/>
      <c r="L75" s="52"/>
      <c r="M75" s="49"/>
      <c r="N75" s="50"/>
      <c r="O75" s="27"/>
      <c r="P75" s="43"/>
      <c r="Q75" s="27"/>
      <c r="R75" s="28"/>
    </row>
    <row r="76" spans="1:18" ht="17.5" thickBot="1">
      <c r="A76" s="51"/>
      <c r="B76" s="44"/>
      <c r="C76" s="62"/>
      <c r="D76" s="59"/>
      <c r="E76" s="62"/>
      <c r="F76" s="25"/>
      <c r="G76" s="30"/>
      <c r="H76" s="29"/>
      <c r="I76" s="29"/>
      <c r="J76" s="25"/>
      <c r="K76" s="26"/>
      <c r="L76" s="52"/>
      <c r="M76" s="49"/>
      <c r="N76" s="50"/>
      <c r="O76" s="27"/>
      <c r="P76" s="43"/>
      <c r="Q76" s="27"/>
      <c r="R76" s="28"/>
    </row>
    <row r="77" spans="1:18" ht="17.5" thickBot="1">
      <c r="A77" s="51"/>
      <c r="B77" s="44"/>
      <c r="C77" s="62"/>
      <c r="D77" s="59"/>
      <c r="E77" s="62"/>
      <c r="F77" s="25"/>
      <c r="G77" s="30"/>
      <c r="H77" s="26"/>
      <c r="I77" s="26"/>
      <c r="J77" s="25"/>
      <c r="K77" s="26"/>
      <c r="L77" s="52"/>
      <c r="M77" s="49"/>
      <c r="N77" s="50"/>
      <c r="O77" s="27"/>
      <c r="P77" s="43"/>
      <c r="Q77" s="27"/>
      <c r="R77" s="28"/>
    </row>
    <row r="78" spans="1:18" ht="17.5" thickBot="1">
      <c r="A78" s="51"/>
      <c r="B78" s="25"/>
      <c r="C78" s="62"/>
      <c r="D78" s="59"/>
      <c r="E78" s="62"/>
      <c r="F78" s="25"/>
      <c r="G78" s="30"/>
      <c r="H78" s="29"/>
      <c r="I78" s="29"/>
      <c r="J78" s="25"/>
      <c r="K78" s="26"/>
      <c r="L78" s="52"/>
      <c r="M78" s="49"/>
      <c r="N78" s="50"/>
      <c r="O78" s="27"/>
      <c r="P78" s="43"/>
      <c r="Q78" s="27"/>
      <c r="R78" s="28"/>
    </row>
    <row r="79" spans="1:18" ht="17.5" thickBot="1">
      <c r="A79" s="51"/>
      <c r="B79" s="25"/>
      <c r="C79" s="62"/>
      <c r="D79" s="59"/>
      <c r="E79" s="62"/>
      <c r="F79" s="25"/>
      <c r="G79" s="30"/>
      <c r="H79" s="29"/>
      <c r="I79" s="29"/>
      <c r="J79" s="25"/>
      <c r="K79" s="26"/>
      <c r="L79" s="52"/>
      <c r="M79" s="49"/>
      <c r="N79" s="50"/>
      <c r="O79" s="27"/>
      <c r="P79" s="43"/>
      <c r="Q79" s="27"/>
      <c r="R79" s="28"/>
    </row>
    <row r="80" spans="1:18" ht="17.5" thickBot="1">
      <c r="A80" s="51"/>
      <c r="B80" s="25"/>
      <c r="C80" s="62"/>
      <c r="D80" s="59"/>
      <c r="E80" s="62"/>
      <c r="F80" s="25"/>
      <c r="G80" s="30"/>
      <c r="H80" s="29"/>
      <c r="I80" s="29"/>
      <c r="J80" s="25"/>
      <c r="K80" s="26"/>
      <c r="L80" s="52"/>
      <c r="M80" s="49"/>
      <c r="N80" s="50"/>
      <c r="O80" s="27"/>
      <c r="P80" s="43"/>
      <c r="Q80" s="27"/>
      <c r="R80" s="28"/>
    </row>
    <row r="81" spans="1:18" ht="17.5" thickBot="1">
      <c r="A81" s="67"/>
      <c r="B81" s="68"/>
      <c r="C81" s="69"/>
      <c r="D81" s="70"/>
      <c r="E81" s="69"/>
      <c r="F81" s="68"/>
      <c r="G81" s="71"/>
      <c r="H81" s="74"/>
      <c r="I81" s="74"/>
      <c r="J81" s="68"/>
      <c r="K81" s="72"/>
      <c r="L81" s="73"/>
      <c r="M81" s="77"/>
      <c r="N81" s="78"/>
      <c r="O81" s="57"/>
      <c r="P81" s="58"/>
      <c r="Q81" s="27"/>
      <c r="R81" s="28"/>
    </row>
    <row r="82" spans="1:18" ht="17.5" thickBot="1">
      <c r="A82" s="51"/>
      <c r="B82" s="25"/>
      <c r="C82" s="62"/>
      <c r="D82" s="59"/>
      <c r="E82" s="62"/>
      <c r="F82" s="25"/>
      <c r="G82" s="30"/>
      <c r="H82" s="29"/>
      <c r="I82" s="29"/>
      <c r="J82" s="25"/>
      <c r="K82" s="26"/>
      <c r="L82" s="52"/>
      <c r="M82" s="49"/>
      <c r="N82" s="50"/>
      <c r="O82" s="27"/>
      <c r="P82" s="43"/>
      <c r="Q82" s="27"/>
      <c r="R82" s="28"/>
    </row>
    <row r="83" spans="1:18" ht="17.5" thickBot="1">
      <c r="A83" s="51"/>
      <c r="B83" s="25"/>
      <c r="C83" s="62"/>
      <c r="D83" s="59"/>
      <c r="E83" s="62"/>
      <c r="F83" s="25"/>
      <c r="G83" s="30"/>
      <c r="H83" s="29"/>
      <c r="I83" s="29"/>
      <c r="J83" s="25"/>
      <c r="K83" s="26"/>
      <c r="L83" s="52"/>
      <c r="M83" s="49"/>
      <c r="N83" s="50"/>
      <c r="O83" s="27"/>
      <c r="P83" s="43"/>
      <c r="Q83" s="27"/>
      <c r="R83" s="28"/>
    </row>
    <row r="84" spans="1:18" ht="17.5" thickBot="1">
      <c r="A84" s="67"/>
      <c r="B84" s="68"/>
      <c r="C84" s="69"/>
      <c r="D84" s="70"/>
      <c r="E84" s="69"/>
      <c r="F84" s="68"/>
      <c r="G84" s="71"/>
      <c r="H84" s="74"/>
      <c r="I84" s="74"/>
      <c r="J84" s="68"/>
      <c r="K84" s="72"/>
      <c r="L84" s="73"/>
      <c r="M84" s="77"/>
      <c r="N84" s="78"/>
      <c r="O84" s="57"/>
      <c r="P84" s="58"/>
      <c r="Q84" s="27"/>
      <c r="R84" s="28"/>
    </row>
    <row r="85" spans="1:18" ht="17.5" thickBot="1">
      <c r="A85" s="51"/>
      <c r="B85" s="25"/>
      <c r="C85" s="62"/>
      <c r="D85" s="59"/>
      <c r="E85" s="62"/>
      <c r="F85" s="25"/>
      <c r="G85" s="30"/>
      <c r="H85" s="29"/>
      <c r="I85" s="29"/>
      <c r="J85" s="25"/>
      <c r="K85" s="26"/>
      <c r="L85" s="52"/>
      <c r="M85" s="49"/>
      <c r="N85" s="50"/>
      <c r="O85" s="27"/>
      <c r="P85" s="43"/>
      <c r="Q85" s="27"/>
      <c r="R85" s="28"/>
    </row>
    <row r="86" spans="1:18" ht="17.5" thickBot="1">
      <c r="A86" s="51"/>
      <c r="B86" s="25"/>
      <c r="C86" s="62"/>
      <c r="D86" s="59"/>
      <c r="E86" s="62"/>
      <c r="F86" s="25"/>
      <c r="G86" s="30"/>
      <c r="H86" s="29"/>
      <c r="I86" s="29"/>
      <c r="J86" s="25"/>
      <c r="K86" s="26"/>
      <c r="L86" s="52"/>
      <c r="M86" s="49"/>
      <c r="N86" s="50"/>
      <c r="O86" s="27"/>
      <c r="P86" s="43"/>
      <c r="Q86" s="27"/>
      <c r="R86" s="28"/>
    </row>
    <row r="87" spans="1:18" ht="17.5" thickBot="1">
      <c r="A87" s="51"/>
      <c r="B87" s="25"/>
      <c r="C87" s="62"/>
      <c r="D87" s="59"/>
      <c r="E87" s="62"/>
      <c r="F87" s="25"/>
      <c r="G87" s="30"/>
      <c r="H87" s="29"/>
      <c r="I87" s="29"/>
      <c r="J87" s="25"/>
      <c r="K87" s="26"/>
      <c r="L87" s="52"/>
      <c r="M87" s="49"/>
      <c r="N87" s="50"/>
      <c r="O87" s="27"/>
      <c r="P87" s="43"/>
      <c r="Q87" s="27"/>
      <c r="R87" s="28"/>
    </row>
    <row r="88" spans="1:18" ht="17.5" thickBot="1">
      <c r="A88" s="51"/>
      <c r="B88" s="25"/>
      <c r="C88" s="62"/>
      <c r="D88" s="59"/>
      <c r="E88" s="62"/>
      <c r="F88" s="25"/>
      <c r="G88" s="30"/>
      <c r="H88" s="29"/>
      <c r="I88" s="29"/>
      <c r="J88" s="25"/>
      <c r="K88" s="26"/>
      <c r="L88" s="52"/>
      <c r="M88" s="49"/>
      <c r="N88" s="50"/>
      <c r="O88" s="27"/>
      <c r="P88" s="43"/>
      <c r="Q88" s="27"/>
      <c r="R88" s="28"/>
    </row>
    <row r="89" spans="1:18" ht="17.5" thickBot="1">
      <c r="A89" s="51"/>
      <c r="B89" s="25"/>
      <c r="C89" s="62"/>
      <c r="D89" s="59"/>
      <c r="E89" s="62"/>
      <c r="F89" s="25"/>
      <c r="G89" s="30"/>
      <c r="H89" s="29"/>
      <c r="I89" s="29"/>
      <c r="J89" s="25"/>
      <c r="K89" s="26"/>
      <c r="L89" s="52"/>
      <c r="M89" s="49"/>
      <c r="N89" s="50"/>
      <c r="O89" s="27"/>
      <c r="P89" s="43"/>
      <c r="Q89" s="27"/>
      <c r="R89" s="28"/>
    </row>
    <row r="90" spans="1:18" ht="17.5" thickBot="1">
      <c r="A90" s="67"/>
      <c r="B90" s="68"/>
      <c r="C90" s="69"/>
      <c r="D90" s="70"/>
      <c r="E90" s="69"/>
      <c r="F90" s="68"/>
      <c r="G90" s="71"/>
      <c r="H90" s="72"/>
      <c r="I90" s="72"/>
      <c r="J90" s="68"/>
      <c r="K90" s="72"/>
      <c r="L90" s="73"/>
      <c r="M90" s="77"/>
      <c r="N90" s="78"/>
      <c r="O90" s="57"/>
      <c r="P90" s="58"/>
      <c r="Q90" s="27"/>
      <c r="R90" s="28"/>
    </row>
    <row r="91" spans="1:18" ht="17.5" thickBot="1">
      <c r="A91" s="51"/>
      <c r="B91" s="44"/>
      <c r="C91" s="62"/>
      <c r="D91" s="59"/>
      <c r="E91" s="62"/>
      <c r="F91" s="25"/>
      <c r="G91" s="30"/>
      <c r="H91" s="29"/>
      <c r="I91" s="29"/>
      <c r="J91" s="25"/>
      <c r="K91" s="26"/>
      <c r="L91" s="52"/>
      <c r="M91" s="49"/>
      <c r="N91" s="50"/>
      <c r="O91" s="27"/>
      <c r="P91" s="43"/>
      <c r="Q91" s="27"/>
      <c r="R91" s="28"/>
    </row>
    <row r="92" spans="1:18" ht="17.5" thickBot="1">
      <c r="A92" s="51"/>
      <c r="B92" s="25"/>
      <c r="C92" s="62"/>
      <c r="D92" s="59"/>
      <c r="E92" s="62"/>
      <c r="F92" s="25"/>
      <c r="G92" s="30"/>
      <c r="H92" s="29"/>
      <c r="I92" s="29"/>
      <c r="J92" s="25"/>
      <c r="K92" s="26"/>
      <c r="L92" s="52"/>
      <c r="M92" s="49"/>
      <c r="N92" s="50"/>
      <c r="O92" s="27"/>
      <c r="P92" s="43"/>
      <c r="Q92" s="27"/>
      <c r="R92" s="28"/>
    </row>
    <row r="93" spans="1:18" ht="17.5" thickBot="1">
      <c r="A93" s="24"/>
      <c r="B93" s="25"/>
      <c r="C93" s="62"/>
      <c r="D93" s="25"/>
      <c r="E93" s="62"/>
      <c r="F93" s="25"/>
      <c r="G93" s="30"/>
      <c r="H93" s="29"/>
      <c r="I93" s="29"/>
      <c r="J93" s="25"/>
      <c r="K93" s="26"/>
      <c r="L93" s="52" t="str">
        <f t="shared" ref="L93:L127" si="5" xml:space="preserve"> "0"&amp;C93</f>
        <v>0</v>
      </c>
      <c r="M93" s="49"/>
      <c r="N93" s="50" t="e">
        <f>VLOOKUP($M93,#REF!,6,0)</f>
        <v>#REF!</v>
      </c>
      <c r="O93" s="27" t="e">
        <f>VLOOKUP($M93,#REF!,3,0)</f>
        <v>#REF!</v>
      </c>
      <c r="P93" s="43" t="e">
        <f t="shared" ref="P93:P127" si="6">O93=E93</f>
        <v>#REF!</v>
      </c>
      <c r="Q93" s="27" t="e">
        <f>VLOOKUP($M93,#REF!,2,0)</f>
        <v>#REF!</v>
      </c>
      <c r="R93" s="28" t="e">
        <f t="shared" ref="R93:R108" si="7">Q93=B93</f>
        <v>#REF!</v>
      </c>
    </row>
    <row r="94" spans="1:18" ht="17.5" thickBot="1">
      <c r="A94" s="24"/>
      <c r="B94" s="44"/>
      <c r="C94" s="62"/>
      <c r="D94" s="25"/>
      <c r="E94" s="62"/>
      <c r="F94" s="25"/>
      <c r="G94" s="30"/>
      <c r="H94" s="29"/>
      <c r="I94" s="29"/>
      <c r="J94" s="25"/>
      <c r="K94" s="26"/>
      <c r="L94" s="52" t="str">
        <f t="shared" si="5"/>
        <v>0</v>
      </c>
      <c r="M94" s="49"/>
      <c r="N94" s="50" t="e">
        <f>VLOOKUP($M94,#REF!,6,0)</f>
        <v>#REF!</v>
      </c>
      <c r="O94" s="27" t="e">
        <f>VLOOKUP($M94,#REF!,3,0)</f>
        <v>#REF!</v>
      </c>
      <c r="P94" s="43" t="e">
        <f t="shared" si="6"/>
        <v>#REF!</v>
      </c>
      <c r="Q94" s="27" t="e">
        <f>VLOOKUP($M94,#REF!,2,0)</f>
        <v>#REF!</v>
      </c>
      <c r="R94" s="28" t="e">
        <f t="shared" si="7"/>
        <v>#REF!</v>
      </c>
    </row>
    <row r="95" spans="1:18" ht="17.5" thickBot="1">
      <c r="A95" s="24"/>
      <c r="B95" s="25"/>
      <c r="C95" s="62"/>
      <c r="D95" s="25"/>
      <c r="E95" s="62"/>
      <c r="F95" s="25"/>
      <c r="G95" s="30"/>
      <c r="H95" s="29"/>
      <c r="I95" s="29"/>
      <c r="J95" s="25"/>
      <c r="K95" s="26"/>
      <c r="L95" s="52" t="str">
        <f t="shared" si="5"/>
        <v>0</v>
      </c>
      <c r="M95" s="49"/>
      <c r="N95" s="50" t="e">
        <f>VLOOKUP($M95,#REF!,6,0)</f>
        <v>#REF!</v>
      </c>
      <c r="O95" s="27" t="e">
        <f>VLOOKUP($M95,#REF!,3,0)</f>
        <v>#REF!</v>
      </c>
      <c r="P95" s="43" t="e">
        <f t="shared" si="6"/>
        <v>#REF!</v>
      </c>
      <c r="Q95" s="27" t="e">
        <f>VLOOKUP($M95,#REF!,2,0)</f>
        <v>#REF!</v>
      </c>
      <c r="R95" s="28" t="e">
        <f t="shared" si="7"/>
        <v>#REF!</v>
      </c>
    </row>
    <row r="96" spans="1:18" ht="17.5" thickBot="1">
      <c r="A96" s="24"/>
      <c r="B96" s="25"/>
      <c r="C96" s="62"/>
      <c r="D96" s="25"/>
      <c r="E96" s="62"/>
      <c r="F96" s="25"/>
      <c r="G96" s="30"/>
      <c r="H96" s="29"/>
      <c r="I96" s="29"/>
      <c r="J96" s="25"/>
      <c r="K96" s="26"/>
      <c r="L96" s="52" t="str">
        <f t="shared" si="5"/>
        <v>0</v>
      </c>
      <c r="M96" s="49"/>
      <c r="N96" s="50" t="e">
        <f>VLOOKUP($M96,#REF!,6,0)</f>
        <v>#REF!</v>
      </c>
      <c r="O96" s="27" t="e">
        <f>VLOOKUP($M96,#REF!,3,0)</f>
        <v>#REF!</v>
      </c>
      <c r="P96" s="43" t="e">
        <f t="shared" si="6"/>
        <v>#REF!</v>
      </c>
      <c r="Q96" s="27" t="e">
        <f>VLOOKUP($M96,#REF!,2,0)</f>
        <v>#REF!</v>
      </c>
      <c r="R96" s="28" t="e">
        <f t="shared" si="7"/>
        <v>#REF!</v>
      </c>
    </row>
    <row r="97" spans="1:18" ht="17.5" thickBot="1">
      <c r="A97" s="24"/>
      <c r="B97" s="25"/>
      <c r="C97" s="62"/>
      <c r="D97" s="25"/>
      <c r="E97" s="62"/>
      <c r="F97" s="25"/>
      <c r="G97" s="30"/>
      <c r="H97" s="29"/>
      <c r="I97" s="29"/>
      <c r="J97" s="25"/>
      <c r="K97" s="26"/>
      <c r="L97" s="52" t="str">
        <f t="shared" si="5"/>
        <v>0</v>
      </c>
      <c r="M97" s="49"/>
      <c r="N97" s="50" t="e">
        <f>VLOOKUP($M97,#REF!,6,0)</f>
        <v>#REF!</v>
      </c>
      <c r="O97" s="27" t="e">
        <f>VLOOKUP($M97,#REF!,3,0)</f>
        <v>#REF!</v>
      </c>
      <c r="P97" s="43" t="e">
        <f t="shared" si="6"/>
        <v>#REF!</v>
      </c>
      <c r="Q97" s="27" t="e">
        <f>VLOOKUP($M97,#REF!,2,0)</f>
        <v>#REF!</v>
      </c>
      <c r="R97" s="28" t="e">
        <f t="shared" si="7"/>
        <v>#REF!</v>
      </c>
    </row>
    <row r="98" spans="1:18" ht="17.5" thickBot="1">
      <c r="A98" s="24"/>
      <c r="B98" s="25"/>
      <c r="C98" s="62"/>
      <c r="D98" s="25"/>
      <c r="E98" s="62"/>
      <c r="F98" s="25"/>
      <c r="G98" s="30"/>
      <c r="H98" s="29"/>
      <c r="I98" s="29"/>
      <c r="J98" s="25"/>
      <c r="K98" s="26"/>
      <c r="L98" s="52" t="str">
        <f t="shared" si="5"/>
        <v>0</v>
      </c>
      <c r="M98" s="49"/>
      <c r="N98" s="50" t="e">
        <f>VLOOKUP($M98,#REF!,6,0)</f>
        <v>#REF!</v>
      </c>
      <c r="O98" s="27" t="e">
        <f>VLOOKUP($M98,#REF!,3,0)</f>
        <v>#REF!</v>
      </c>
      <c r="P98" s="43" t="e">
        <f t="shared" si="6"/>
        <v>#REF!</v>
      </c>
      <c r="Q98" s="27" t="e">
        <f>VLOOKUP($M98,#REF!,2,0)</f>
        <v>#REF!</v>
      </c>
      <c r="R98" s="28" t="e">
        <f t="shared" si="7"/>
        <v>#REF!</v>
      </c>
    </row>
    <row r="99" spans="1:18" ht="17.5" thickBot="1">
      <c r="A99" s="24"/>
      <c r="B99" s="25"/>
      <c r="C99" s="62"/>
      <c r="D99" s="25"/>
      <c r="E99" s="62"/>
      <c r="F99" s="25"/>
      <c r="G99" s="30"/>
      <c r="H99" s="26"/>
      <c r="I99" s="26"/>
      <c r="J99" s="25"/>
      <c r="K99" s="26"/>
      <c r="L99" s="52" t="str">
        <f t="shared" si="5"/>
        <v>0</v>
      </c>
      <c r="M99" s="49"/>
      <c r="N99" s="50" t="e">
        <f>VLOOKUP($M99,#REF!,6,0)</f>
        <v>#REF!</v>
      </c>
      <c r="O99" s="27" t="e">
        <f>VLOOKUP($M99,#REF!,3,0)</f>
        <v>#REF!</v>
      </c>
      <c r="P99" s="43" t="e">
        <f t="shared" si="6"/>
        <v>#REF!</v>
      </c>
      <c r="Q99" s="27" t="e">
        <f>VLOOKUP($M99,#REF!,2,0)</f>
        <v>#REF!</v>
      </c>
      <c r="R99" s="28" t="e">
        <f t="shared" si="7"/>
        <v>#REF!</v>
      </c>
    </row>
    <row r="100" spans="1:18" ht="17.5" thickBot="1">
      <c r="A100" s="24"/>
      <c r="B100" s="25"/>
      <c r="C100" s="62"/>
      <c r="D100" s="25"/>
      <c r="E100" s="62"/>
      <c r="F100" s="25"/>
      <c r="G100" s="30"/>
      <c r="H100" s="26"/>
      <c r="I100" s="26"/>
      <c r="J100" s="25"/>
      <c r="K100" s="26"/>
      <c r="L100" s="52" t="str">
        <f t="shared" si="5"/>
        <v>0</v>
      </c>
      <c r="M100" s="49"/>
      <c r="N100" s="50" t="e">
        <f>VLOOKUP($M100,#REF!,6,0)</f>
        <v>#REF!</v>
      </c>
      <c r="O100" s="27" t="e">
        <f>VLOOKUP($M100,#REF!,3,0)</f>
        <v>#REF!</v>
      </c>
      <c r="P100" s="43" t="e">
        <f t="shared" si="6"/>
        <v>#REF!</v>
      </c>
      <c r="Q100" s="27" t="e">
        <f>VLOOKUP($M100,#REF!,2,0)</f>
        <v>#REF!</v>
      </c>
      <c r="R100" s="28" t="e">
        <f t="shared" si="7"/>
        <v>#REF!</v>
      </c>
    </row>
    <row r="101" spans="1:18" ht="17.5" thickBot="1">
      <c r="A101" s="24"/>
      <c r="B101" s="25"/>
      <c r="C101" s="62"/>
      <c r="D101" s="25"/>
      <c r="E101" s="62"/>
      <c r="F101" s="25"/>
      <c r="G101" s="30"/>
      <c r="H101" s="26"/>
      <c r="I101" s="26"/>
      <c r="J101" s="25"/>
      <c r="K101" s="26"/>
      <c r="L101" s="52" t="str">
        <f t="shared" si="5"/>
        <v>0</v>
      </c>
      <c r="M101" s="49"/>
      <c r="N101" s="50" t="e">
        <f>VLOOKUP($M101,#REF!,6,0)</f>
        <v>#REF!</v>
      </c>
      <c r="O101" s="27" t="e">
        <f>VLOOKUP($M101,#REF!,3,0)</f>
        <v>#REF!</v>
      </c>
      <c r="P101" s="43" t="e">
        <f t="shared" si="6"/>
        <v>#REF!</v>
      </c>
      <c r="Q101" s="27" t="e">
        <f>VLOOKUP($M101,#REF!,2,0)</f>
        <v>#REF!</v>
      </c>
      <c r="R101" s="28" t="e">
        <f t="shared" si="7"/>
        <v>#REF!</v>
      </c>
    </row>
    <row r="102" spans="1:18" ht="17.5" thickBot="1">
      <c r="A102" s="24"/>
      <c r="B102" s="25"/>
      <c r="C102" s="62"/>
      <c r="D102" s="25"/>
      <c r="E102" s="62"/>
      <c r="F102" s="25"/>
      <c r="G102" s="30"/>
      <c r="H102" s="26"/>
      <c r="I102" s="26"/>
      <c r="J102" s="25"/>
      <c r="K102" s="26"/>
      <c r="L102" s="52" t="str">
        <f t="shared" si="5"/>
        <v>0</v>
      </c>
      <c r="M102" s="49"/>
      <c r="N102" s="50" t="e">
        <f>VLOOKUP($M102,#REF!,6,0)</f>
        <v>#REF!</v>
      </c>
      <c r="O102" s="27" t="e">
        <f>VLOOKUP($M102,#REF!,3,0)</f>
        <v>#REF!</v>
      </c>
      <c r="P102" s="43" t="e">
        <f t="shared" si="6"/>
        <v>#REF!</v>
      </c>
      <c r="Q102" s="27" t="e">
        <f>VLOOKUP($M102,#REF!,2,0)</f>
        <v>#REF!</v>
      </c>
      <c r="R102" s="28" t="e">
        <f t="shared" si="7"/>
        <v>#REF!</v>
      </c>
    </row>
    <row r="103" spans="1:18" ht="17.5" thickBot="1">
      <c r="A103" s="24"/>
      <c r="B103" s="25"/>
      <c r="C103" s="62"/>
      <c r="D103" s="25"/>
      <c r="E103" s="62"/>
      <c r="F103" s="25"/>
      <c r="G103" s="30"/>
      <c r="H103" s="26"/>
      <c r="I103" s="26"/>
      <c r="J103" s="25"/>
      <c r="K103" s="26"/>
      <c r="L103" s="52" t="str">
        <f t="shared" si="5"/>
        <v>0</v>
      </c>
      <c r="M103" s="49"/>
      <c r="N103" s="50" t="e">
        <f>VLOOKUP($M103,#REF!,6,0)</f>
        <v>#REF!</v>
      </c>
      <c r="O103" s="27" t="e">
        <f>VLOOKUP($M103,#REF!,3,0)</f>
        <v>#REF!</v>
      </c>
      <c r="P103" s="43" t="e">
        <f t="shared" si="6"/>
        <v>#REF!</v>
      </c>
      <c r="Q103" s="27" t="e">
        <f>VLOOKUP($M103,#REF!,2,0)</f>
        <v>#REF!</v>
      </c>
      <c r="R103" s="28" t="e">
        <f t="shared" si="7"/>
        <v>#REF!</v>
      </c>
    </row>
    <row r="104" spans="1:18" ht="17.5" thickBot="1">
      <c r="A104" s="24"/>
      <c r="B104" s="25"/>
      <c r="C104" s="62"/>
      <c r="D104" s="25"/>
      <c r="E104" s="62"/>
      <c r="F104" s="25"/>
      <c r="G104" s="30"/>
      <c r="H104" s="29"/>
      <c r="I104" s="29"/>
      <c r="J104" s="25"/>
      <c r="K104" s="26"/>
      <c r="L104" s="52" t="str">
        <f t="shared" si="5"/>
        <v>0</v>
      </c>
      <c r="M104" s="49"/>
      <c r="N104" s="50" t="e">
        <f>VLOOKUP($M104,#REF!,6,0)</f>
        <v>#REF!</v>
      </c>
      <c r="O104" s="27" t="e">
        <f>VLOOKUP($M104,#REF!,3,0)</f>
        <v>#REF!</v>
      </c>
      <c r="P104" s="43" t="e">
        <f t="shared" si="6"/>
        <v>#REF!</v>
      </c>
      <c r="Q104" s="27" t="e">
        <f>VLOOKUP($M104,#REF!,2,0)</f>
        <v>#REF!</v>
      </c>
      <c r="R104" s="28" t="e">
        <f t="shared" si="7"/>
        <v>#REF!</v>
      </c>
    </row>
    <row r="105" spans="1:18" ht="17.5" thickBot="1">
      <c r="A105" s="24"/>
      <c r="B105" s="25"/>
      <c r="C105" s="62"/>
      <c r="D105" s="25"/>
      <c r="E105" s="62"/>
      <c r="F105" s="25"/>
      <c r="G105" s="30"/>
      <c r="H105" s="29"/>
      <c r="I105" s="29"/>
      <c r="J105" s="25"/>
      <c r="K105" s="26"/>
      <c r="L105" s="52" t="str">
        <f t="shared" si="5"/>
        <v>0</v>
      </c>
      <c r="M105" s="49"/>
      <c r="N105" s="50" t="e">
        <f>VLOOKUP($M105,#REF!,6,0)</f>
        <v>#REF!</v>
      </c>
      <c r="O105" s="27" t="e">
        <f>VLOOKUP($M105,#REF!,3,0)</f>
        <v>#REF!</v>
      </c>
      <c r="P105" s="43" t="e">
        <f t="shared" si="6"/>
        <v>#REF!</v>
      </c>
      <c r="Q105" s="27" t="e">
        <f>VLOOKUP($M105,#REF!,2,0)</f>
        <v>#REF!</v>
      </c>
      <c r="R105" s="28" t="e">
        <f t="shared" si="7"/>
        <v>#REF!</v>
      </c>
    </row>
    <row r="106" spans="1:18" ht="17.5" thickBot="1">
      <c r="A106" s="24"/>
      <c r="B106" s="25"/>
      <c r="C106" s="62"/>
      <c r="D106" s="25"/>
      <c r="E106" s="62"/>
      <c r="F106" s="25"/>
      <c r="G106" s="30"/>
      <c r="H106" s="29"/>
      <c r="I106" s="29"/>
      <c r="J106" s="25"/>
      <c r="K106" s="26"/>
      <c r="L106" s="52" t="str">
        <f t="shared" si="5"/>
        <v>0</v>
      </c>
      <c r="M106" s="49"/>
      <c r="N106" s="50" t="e">
        <f>VLOOKUP($M106,#REF!,6,0)</f>
        <v>#REF!</v>
      </c>
      <c r="O106" s="27" t="e">
        <f>VLOOKUP($M106,#REF!,3,0)</f>
        <v>#REF!</v>
      </c>
      <c r="P106" s="43" t="e">
        <f t="shared" si="6"/>
        <v>#REF!</v>
      </c>
      <c r="Q106" s="27" t="e">
        <f>VLOOKUP($M106,#REF!,2,0)</f>
        <v>#REF!</v>
      </c>
      <c r="R106" s="28" t="e">
        <f t="shared" si="7"/>
        <v>#REF!</v>
      </c>
    </row>
    <row r="107" spans="1:18" ht="17.5" thickBot="1">
      <c r="A107" s="24"/>
      <c r="B107" s="25"/>
      <c r="C107" s="62"/>
      <c r="D107" s="25"/>
      <c r="E107" s="62"/>
      <c r="F107" s="25"/>
      <c r="G107" s="30"/>
      <c r="H107" s="29"/>
      <c r="I107" s="29"/>
      <c r="J107" s="25"/>
      <c r="K107" s="26"/>
      <c r="L107" s="52" t="str">
        <f t="shared" si="5"/>
        <v>0</v>
      </c>
      <c r="M107" s="49"/>
      <c r="N107" s="50" t="e">
        <f>VLOOKUP($M107,#REF!,6,0)</f>
        <v>#REF!</v>
      </c>
      <c r="O107" s="27" t="e">
        <f>VLOOKUP($M107,#REF!,3,0)</f>
        <v>#REF!</v>
      </c>
      <c r="P107" s="43" t="e">
        <f t="shared" si="6"/>
        <v>#REF!</v>
      </c>
      <c r="Q107" s="27" t="e">
        <f>VLOOKUP($M107,#REF!,2,0)</f>
        <v>#REF!</v>
      </c>
      <c r="R107" s="28" t="e">
        <f t="shared" si="7"/>
        <v>#REF!</v>
      </c>
    </row>
    <row r="108" spans="1:18" ht="17.5" thickBot="1">
      <c r="A108" s="24"/>
      <c r="B108" s="25"/>
      <c r="C108" s="62"/>
      <c r="D108" s="25"/>
      <c r="E108" s="62"/>
      <c r="F108" s="25"/>
      <c r="G108" s="30"/>
      <c r="H108" s="29"/>
      <c r="I108" s="29"/>
      <c r="J108" s="25"/>
      <c r="K108" s="26"/>
      <c r="L108" s="52" t="str">
        <f t="shared" si="5"/>
        <v>0</v>
      </c>
      <c r="M108" s="49"/>
      <c r="N108" s="50" t="e">
        <f>VLOOKUP($M108,#REF!,6,0)</f>
        <v>#REF!</v>
      </c>
      <c r="O108" s="27" t="e">
        <f>VLOOKUP($M108,#REF!,3,0)</f>
        <v>#REF!</v>
      </c>
      <c r="P108" s="43" t="e">
        <f t="shared" si="6"/>
        <v>#REF!</v>
      </c>
      <c r="Q108" s="27" t="e">
        <f>VLOOKUP($M108,#REF!,2,0)</f>
        <v>#REF!</v>
      </c>
      <c r="R108" s="28" t="e">
        <f t="shared" si="7"/>
        <v>#REF!</v>
      </c>
    </row>
    <row r="109" spans="1:18" ht="17.5" thickBot="1">
      <c r="A109" s="24"/>
      <c r="B109" s="25"/>
      <c r="C109" s="62"/>
      <c r="D109" s="25"/>
      <c r="E109" s="62"/>
      <c r="F109" s="25"/>
      <c r="G109" s="30"/>
      <c r="H109" s="29"/>
      <c r="I109" s="29"/>
      <c r="J109" s="25"/>
      <c r="K109" s="26"/>
      <c r="L109" s="52" t="str">
        <f t="shared" si="5"/>
        <v>0</v>
      </c>
      <c r="M109" s="49"/>
      <c r="N109" s="50" t="e">
        <f>VLOOKUP($M109,#REF!,6,0)</f>
        <v>#REF!</v>
      </c>
      <c r="O109" s="27" t="e">
        <f>VLOOKUP($M109,#REF!,3,0)</f>
        <v>#REF!</v>
      </c>
      <c r="P109" s="43" t="e">
        <f t="shared" si="6"/>
        <v>#REF!</v>
      </c>
      <c r="Q109" s="27" t="e">
        <f>VLOOKUP($M109,#REF!,2,0)</f>
        <v>#REF!</v>
      </c>
      <c r="R109" s="28" t="e">
        <f t="shared" ref="R109:R172" si="8">Q109=B109</f>
        <v>#REF!</v>
      </c>
    </row>
    <row r="110" spans="1:18" ht="17.5" thickBot="1">
      <c r="A110" s="24"/>
      <c r="B110" s="25"/>
      <c r="C110" s="62"/>
      <c r="D110" s="25"/>
      <c r="E110" s="62"/>
      <c r="F110" s="25"/>
      <c r="G110" s="30"/>
      <c r="H110" s="29"/>
      <c r="I110" s="29"/>
      <c r="J110" s="25"/>
      <c r="K110" s="26"/>
      <c r="L110" s="52" t="str">
        <f t="shared" si="5"/>
        <v>0</v>
      </c>
      <c r="M110" s="49"/>
      <c r="N110" s="50" t="e">
        <f>VLOOKUP($M110,#REF!,6,0)</f>
        <v>#REF!</v>
      </c>
      <c r="O110" s="27" t="e">
        <f>VLOOKUP($M110,#REF!,3,0)</f>
        <v>#REF!</v>
      </c>
      <c r="P110" s="43" t="e">
        <f t="shared" si="6"/>
        <v>#REF!</v>
      </c>
      <c r="Q110" s="27" t="e">
        <f>VLOOKUP($M110,#REF!,2,0)</f>
        <v>#REF!</v>
      </c>
      <c r="R110" s="28" t="e">
        <f t="shared" si="8"/>
        <v>#REF!</v>
      </c>
    </row>
    <row r="111" spans="1:18" ht="17.5" thickBot="1">
      <c r="A111" s="24"/>
      <c r="B111" s="25"/>
      <c r="C111" s="62"/>
      <c r="D111" s="25"/>
      <c r="E111" s="62"/>
      <c r="F111" s="25"/>
      <c r="G111" s="30"/>
      <c r="H111" s="29"/>
      <c r="I111" s="29"/>
      <c r="J111" s="25"/>
      <c r="K111" s="26"/>
      <c r="L111" s="52" t="str">
        <f t="shared" si="5"/>
        <v>0</v>
      </c>
      <c r="M111" s="49"/>
      <c r="N111" s="50" t="e">
        <f>VLOOKUP($M111,#REF!,6,0)</f>
        <v>#REF!</v>
      </c>
      <c r="O111" s="27" t="e">
        <f>VLOOKUP($M111,#REF!,3,0)</f>
        <v>#REF!</v>
      </c>
      <c r="P111" s="43" t="e">
        <f t="shared" si="6"/>
        <v>#REF!</v>
      </c>
      <c r="Q111" s="27" t="e">
        <f>VLOOKUP($M111,#REF!,2,0)</f>
        <v>#REF!</v>
      </c>
      <c r="R111" s="28" t="e">
        <f t="shared" si="8"/>
        <v>#REF!</v>
      </c>
    </row>
    <row r="112" spans="1:18" ht="17.5" thickBot="1">
      <c r="A112" s="24"/>
      <c r="B112" s="25"/>
      <c r="C112" s="62"/>
      <c r="D112" s="25"/>
      <c r="E112" s="62"/>
      <c r="F112" s="25"/>
      <c r="G112" s="30"/>
      <c r="H112" s="29"/>
      <c r="I112" s="29"/>
      <c r="J112" s="25"/>
      <c r="K112" s="26"/>
      <c r="L112" s="52" t="str">
        <f t="shared" si="5"/>
        <v>0</v>
      </c>
      <c r="M112" s="49"/>
      <c r="N112" s="50" t="e">
        <f>VLOOKUP($M112,#REF!,6,0)</f>
        <v>#REF!</v>
      </c>
      <c r="O112" s="27" t="e">
        <f>VLOOKUP($M112,#REF!,3,0)</f>
        <v>#REF!</v>
      </c>
      <c r="P112" s="43" t="e">
        <f t="shared" si="6"/>
        <v>#REF!</v>
      </c>
      <c r="Q112" s="27" t="e">
        <f>VLOOKUP($M112,#REF!,2,0)</f>
        <v>#REF!</v>
      </c>
      <c r="R112" s="28" t="e">
        <f t="shared" si="8"/>
        <v>#REF!</v>
      </c>
    </row>
    <row r="113" spans="1:18" ht="17.5" thickBot="1">
      <c r="A113" s="24"/>
      <c r="B113" s="25"/>
      <c r="C113" s="62"/>
      <c r="D113" s="25"/>
      <c r="E113" s="62"/>
      <c r="F113" s="25"/>
      <c r="G113" s="30"/>
      <c r="H113" s="29"/>
      <c r="I113" s="29"/>
      <c r="J113" s="25"/>
      <c r="K113" s="26"/>
      <c r="L113" s="52" t="str">
        <f t="shared" si="5"/>
        <v>0</v>
      </c>
      <c r="M113" s="49"/>
      <c r="N113" s="50" t="e">
        <f>VLOOKUP($M113,#REF!,6,0)</f>
        <v>#REF!</v>
      </c>
      <c r="O113" s="27" t="e">
        <f>VLOOKUP($M113,#REF!,3,0)</f>
        <v>#REF!</v>
      </c>
      <c r="P113" s="43" t="e">
        <f t="shared" si="6"/>
        <v>#REF!</v>
      </c>
      <c r="Q113" s="27" t="e">
        <f>VLOOKUP($M113,#REF!,2,0)</f>
        <v>#REF!</v>
      </c>
      <c r="R113" s="28" t="e">
        <f t="shared" si="8"/>
        <v>#REF!</v>
      </c>
    </row>
    <row r="114" spans="1:18" ht="17.5" thickBot="1">
      <c r="A114" s="24"/>
      <c r="B114" s="25"/>
      <c r="C114" s="62"/>
      <c r="D114" s="25"/>
      <c r="E114" s="62"/>
      <c r="F114" s="25"/>
      <c r="G114" s="30"/>
      <c r="H114" s="29"/>
      <c r="I114" s="29"/>
      <c r="J114" s="25"/>
      <c r="K114" s="26"/>
      <c r="L114" s="52" t="str">
        <f t="shared" si="5"/>
        <v>0</v>
      </c>
      <c r="M114" s="49"/>
      <c r="N114" s="50" t="e">
        <f>VLOOKUP($M114,#REF!,6,0)</f>
        <v>#REF!</v>
      </c>
      <c r="O114" s="27" t="e">
        <f>VLOOKUP($M114,#REF!,3,0)</f>
        <v>#REF!</v>
      </c>
      <c r="P114" s="43" t="e">
        <f t="shared" si="6"/>
        <v>#REF!</v>
      </c>
      <c r="Q114" s="27" t="e">
        <f>VLOOKUP($M114,#REF!,2,0)</f>
        <v>#REF!</v>
      </c>
      <c r="R114" s="28" t="e">
        <f t="shared" si="8"/>
        <v>#REF!</v>
      </c>
    </row>
    <row r="115" spans="1:18" ht="17.5" thickBot="1">
      <c r="A115" s="24"/>
      <c r="B115" s="25"/>
      <c r="C115" s="62"/>
      <c r="D115" s="25"/>
      <c r="E115" s="62"/>
      <c r="F115" s="25"/>
      <c r="G115" s="30"/>
      <c r="H115" s="29"/>
      <c r="I115" s="29"/>
      <c r="J115" s="25"/>
      <c r="K115" s="26"/>
      <c r="L115" s="52" t="str">
        <f t="shared" si="5"/>
        <v>0</v>
      </c>
      <c r="M115" s="49"/>
      <c r="N115" s="50" t="e">
        <f>VLOOKUP($M115,#REF!,6,0)</f>
        <v>#REF!</v>
      </c>
      <c r="O115" s="27" t="e">
        <f>VLOOKUP($M115,#REF!,3,0)</f>
        <v>#REF!</v>
      </c>
      <c r="P115" s="43" t="e">
        <f t="shared" si="6"/>
        <v>#REF!</v>
      </c>
      <c r="Q115" s="27" t="e">
        <f>VLOOKUP($M115,#REF!,2,0)</f>
        <v>#REF!</v>
      </c>
      <c r="R115" s="28" t="e">
        <f t="shared" si="8"/>
        <v>#REF!</v>
      </c>
    </row>
    <row r="116" spans="1:18" ht="17.5" thickBot="1">
      <c r="A116" s="24"/>
      <c r="B116" s="25"/>
      <c r="C116" s="62"/>
      <c r="D116" s="25"/>
      <c r="E116" s="62"/>
      <c r="F116" s="25"/>
      <c r="G116" s="30"/>
      <c r="H116" s="29"/>
      <c r="I116" s="29"/>
      <c r="J116" s="25"/>
      <c r="K116" s="26"/>
      <c r="L116" s="52" t="str">
        <f t="shared" si="5"/>
        <v>0</v>
      </c>
      <c r="M116" s="49"/>
      <c r="N116" s="50" t="e">
        <f>VLOOKUP($M116,#REF!,6,0)</f>
        <v>#REF!</v>
      </c>
      <c r="O116" s="27" t="e">
        <f>VLOOKUP($M116,#REF!,3,0)</f>
        <v>#REF!</v>
      </c>
      <c r="P116" s="43" t="e">
        <f t="shared" si="6"/>
        <v>#REF!</v>
      </c>
      <c r="Q116" s="27" t="e">
        <f>VLOOKUP($M116,#REF!,2,0)</f>
        <v>#REF!</v>
      </c>
      <c r="R116" s="28" t="e">
        <f t="shared" si="8"/>
        <v>#REF!</v>
      </c>
    </row>
    <row r="117" spans="1:18" ht="17.5" thickBot="1">
      <c r="A117" s="24"/>
      <c r="B117" s="25"/>
      <c r="C117" s="62"/>
      <c r="D117" s="25"/>
      <c r="E117" s="62"/>
      <c r="F117" s="25"/>
      <c r="G117" s="30"/>
      <c r="H117" s="29"/>
      <c r="I117" s="29"/>
      <c r="J117" s="25"/>
      <c r="K117" s="26"/>
      <c r="L117" s="52" t="str">
        <f t="shared" si="5"/>
        <v>0</v>
      </c>
      <c r="M117" s="49"/>
      <c r="N117" s="50" t="e">
        <f>VLOOKUP($M117,#REF!,6,0)</f>
        <v>#REF!</v>
      </c>
      <c r="O117" s="27" t="e">
        <f>VLOOKUP($M117,#REF!,3,0)</f>
        <v>#REF!</v>
      </c>
      <c r="P117" s="43" t="e">
        <f t="shared" si="6"/>
        <v>#REF!</v>
      </c>
      <c r="Q117" s="27" t="e">
        <f>VLOOKUP($M117,#REF!,2,0)</f>
        <v>#REF!</v>
      </c>
      <c r="R117" s="28" t="e">
        <f t="shared" si="8"/>
        <v>#REF!</v>
      </c>
    </row>
    <row r="118" spans="1:18" ht="17.5" thickBot="1">
      <c r="A118" s="24"/>
      <c r="B118" s="25"/>
      <c r="C118" s="62"/>
      <c r="D118" s="25"/>
      <c r="E118" s="62"/>
      <c r="F118" s="25"/>
      <c r="G118" s="30"/>
      <c r="H118" s="29"/>
      <c r="I118" s="29"/>
      <c r="J118" s="25"/>
      <c r="K118" s="26"/>
      <c r="L118" s="52" t="str">
        <f t="shared" si="5"/>
        <v>0</v>
      </c>
      <c r="M118" s="49"/>
      <c r="N118" s="50" t="e">
        <f>VLOOKUP($M118,#REF!,6,0)</f>
        <v>#REF!</v>
      </c>
      <c r="O118" s="27" t="e">
        <f>VLOOKUP($M118,#REF!,3,0)</f>
        <v>#REF!</v>
      </c>
      <c r="P118" s="43" t="e">
        <f t="shared" si="6"/>
        <v>#REF!</v>
      </c>
      <c r="Q118" s="27" t="e">
        <f>VLOOKUP($M118,#REF!,2,0)</f>
        <v>#REF!</v>
      </c>
      <c r="R118" s="28" t="e">
        <f t="shared" si="8"/>
        <v>#REF!</v>
      </c>
    </row>
    <row r="119" spans="1:18" ht="17.5" thickBot="1">
      <c r="A119" s="24"/>
      <c r="B119" s="25"/>
      <c r="C119" s="62"/>
      <c r="D119" s="25"/>
      <c r="E119" s="62"/>
      <c r="F119" s="25"/>
      <c r="G119" s="30"/>
      <c r="H119" s="29"/>
      <c r="I119" s="29"/>
      <c r="J119" s="25"/>
      <c r="K119" s="26"/>
      <c r="L119" s="52" t="str">
        <f t="shared" si="5"/>
        <v>0</v>
      </c>
      <c r="M119" s="49"/>
      <c r="N119" s="50" t="e">
        <f>VLOOKUP($M119,#REF!,6,0)</f>
        <v>#REF!</v>
      </c>
      <c r="O119" s="27" t="e">
        <f>VLOOKUP($M119,#REF!,3,0)</f>
        <v>#REF!</v>
      </c>
      <c r="P119" s="43" t="e">
        <f t="shared" si="6"/>
        <v>#REF!</v>
      </c>
      <c r="Q119" s="27" t="e">
        <f>VLOOKUP($M119,#REF!,2,0)</f>
        <v>#REF!</v>
      </c>
      <c r="R119" s="28" t="e">
        <f t="shared" si="8"/>
        <v>#REF!</v>
      </c>
    </row>
    <row r="120" spans="1:18" ht="17.5" thickBot="1">
      <c r="A120" s="31"/>
      <c r="B120" s="25"/>
      <c r="C120" s="62"/>
      <c r="D120" s="25"/>
      <c r="E120" s="62"/>
      <c r="F120" s="25"/>
      <c r="G120" s="30"/>
      <c r="H120" s="29"/>
      <c r="I120" s="29"/>
      <c r="J120" s="25"/>
      <c r="K120" s="26"/>
      <c r="L120" s="52" t="str">
        <f t="shared" si="5"/>
        <v>0</v>
      </c>
      <c r="M120" s="49"/>
      <c r="N120" s="50" t="e">
        <f>VLOOKUP($M120,#REF!,6,0)</f>
        <v>#REF!</v>
      </c>
      <c r="O120" s="27" t="e">
        <f>VLOOKUP($M120,#REF!,3,0)</f>
        <v>#REF!</v>
      </c>
      <c r="P120" s="43" t="e">
        <f t="shared" si="6"/>
        <v>#REF!</v>
      </c>
      <c r="Q120" s="27" t="e">
        <f>VLOOKUP($M120,#REF!,2,0)</f>
        <v>#REF!</v>
      </c>
      <c r="R120" s="28" t="e">
        <f t="shared" si="8"/>
        <v>#REF!</v>
      </c>
    </row>
    <row r="121" spans="1:18" ht="17.5" thickBot="1">
      <c r="A121" s="31"/>
      <c r="B121" s="25"/>
      <c r="C121" s="62"/>
      <c r="D121" s="25"/>
      <c r="E121" s="62"/>
      <c r="F121" s="25"/>
      <c r="G121" s="30"/>
      <c r="H121" s="29"/>
      <c r="I121" s="29"/>
      <c r="J121" s="25"/>
      <c r="K121" s="26"/>
      <c r="L121" s="52" t="str">
        <f t="shared" si="5"/>
        <v>0</v>
      </c>
      <c r="M121" s="49"/>
      <c r="N121" s="50" t="e">
        <f>VLOOKUP($M121,#REF!,6,0)</f>
        <v>#REF!</v>
      </c>
      <c r="O121" s="27" t="e">
        <f>VLOOKUP($M121,#REF!,3,0)</f>
        <v>#REF!</v>
      </c>
      <c r="P121" s="43" t="e">
        <f t="shared" si="6"/>
        <v>#REF!</v>
      </c>
      <c r="Q121" s="27" t="e">
        <f>VLOOKUP($M121,#REF!,2,0)</f>
        <v>#REF!</v>
      </c>
      <c r="R121" s="28" t="e">
        <f t="shared" si="8"/>
        <v>#REF!</v>
      </c>
    </row>
    <row r="122" spans="1:18" ht="17.5" thickBot="1">
      <c r="A122" s="31"/>
      <c r="B122" s="25"/>
      <c r="C122" s="62"/>
      <c r="D122" s="25"/>
      <c r="E122" s="62"/>
      <c r="F122" s="25"/>
      <c r="G122" s="30"/>
      <c r="H122" s="29"/>
      <c r="I122" s="29"/>
      <c r="J122" s="25"/>
      <c r="K122" s="26"/>
      <c r="L122" s="52" t="str">
        <f t="shared" si="5"/>
        <v>0</v>
      </c>
      <c r="M122" s="49"/>
      <c r="N122" s="50" t="e">
        <f>VLOOKUP($M122,#REF!,6,0)</f>
        <v>#REF!</v>
      </c>
      <c r="O122" s="27" t="e">
        <f>VLOOKUP($M122,#REF!,3,0)</f>
        <v>#REF!</v>
      </c>
      <c r="P122" s="43" t="e">
        <f t="shared" si="6"/>
        <v>#REF!</v>
      </c>
      <c r="Q122" s="27" t="e">
        <f>VLOOKUP($M122,#REF!,2,0)</f>
        <v>#REF!</v>
      </c>
      <c r="R122" s="28" t="e">
        <f t="shared" si="8"/>
        <v>#REF!</v>
      </c>
    </row>
    <row r="123" spans="1:18" ht="17.5" thickBot="1">
      <c r="A123" s="31"/>
      <c r="B123" s="25"/>
      <c r="C123" s="62"/>
      <c r="D123" s="25"/>
      <c r="E123" s="62"/>
      <c r="F123" s="25"/>
      <c r="G123" s="30"/>
      <c r="H123" s="29"/>
      <c r="I123" s="29"/>
      <c r="J123" s="25"/>
      <c r="K123" s="26"/>
      <c r="L123" s="52" t="str">
        <f t="shared" si="5"/>
        <v>0</v>
      </c>
      <c r="M123" s="49"/>
      <c r="N123" s="50" t="e">
        <f>VLOOKUP($M123,#REF!,6,0)</f>
        <v>#REF!</v>
      </c>
      <c r="O123" s="27" t="e">
        <f>VLOOKUP($M123,#REF!,3,0)</f>
        <v>#REF!</v>
      </c>
      <c r="P123" s="43" t="e">
        <f t="shared" si="6"/>
        <v>#REF!</v>
      </c>
      <c r="Q123" s="27" t="e">
        <f>VLOOKUP($M123,#REF!,2,0)</f>
        <v>#REF!</v>
      </c>
      <c r="R123" s="28" t="e">
        <f t="shared" si="8"/>
        <v>#REF!</v>
      </c>
    </row>
    <row r="124" spans="1:18" ht="17.5" thickBot="1">
      <c r="A124" s="31"/>
      <c r="B124" s="25"/>
      <c r="C124" s="62"/>
      <c r="D124" s="25"/>
      <c r="E124" s="62"/>
      <c r="F124" s="25"/>
      <c r="G124" s="30"/>
      <c r="H124" s="29"/>
      <c r="I124" s="29"/>
      <c r="J124" s="25"/>
      <c r="K124" s="26"/>
      <c r="L124" s="52" t="str">
        <f t="shared" si="5"/>
        <v>0</v>
      </c>
      <c r="M124" s="49"/>
      <c r="N124" s="50" t="e">
        <f>VLOOKUP($M124,#REF!,6,0)</f>
        <v>#REF!</v>
      </c>
      <c r="O124" s="27" t="e">
        <f>VLOOKUP($M124,#REF!,3,0)</f>
        <v>#REF!</v>
      </c>
      <c r="P124" s="43" t="e">
        <f t="shared" si="6"/>
        <v>#REF!</v>
      </c>
      <c r="Q124" s="27" t="e">
        <f>VLOOKUP($M124,#REF!,2,0)</f>
        <v>#REF!</v>
      </c>
      <c r="R124" s="28" t="e">
        <f t="shared" si="8"/>
        <v>#REF!</v>
      </c>
    </row>
    <row r="125" spans="1:18" ht="17.5" thickBot="1">
      <c r="A125" s="31"/>
      <c r="B125" s="25"/>
      <c r="C125" s="62"/>
      <c r="D125" s="25"/>
      <c r="E125" s="62"/>
      <c r="F125" s="25"/>
      <c r="G125" s="30"/>
      <c r="H125" s="29"/>
      <c r="I125" s="29"/>
      <c r="J125" s="25"/>
      <c r="K125" s="26"/>
      <c r="L125" s="52" t="str">
        <f t="shared" si="5"/>
        <v>0</v>
      </c>
      <c r="M125" s="49"/>
      <c r="N125" s="50" t="e">
        <f>VLOOKUP($M125,#REF!,6,0)</f>
        <v>#REF!</v>
      </c>
      <c r="O125" s="27" t="e">
        <f>VLOOKUP($M125,#REF!,3,0)</f>
        <v>#REF!</v>
      </c>
      <c r="P125" s="43" t="e">
        <f t="shared" si="6"/>
        <v>#REF!</v>
      </c>
      <c r="Q125" s="27" t="e">
        <f>VLOOKUP($M125,#REF!,2,0)</f>
        <v>#REF!</v>
      </c>
      <c r="R125" s="28" t="e">
        <f t="shared" si="8"/>
        <v>#REF!</v>
      </c>
    </row>
    <row r="126" spans="1:18" ht="17.5" thickBot="1">
      <c r="A126" s="31"/>
      <c r="B126" s="25"/>
      <c r="C126" s="62"/>
      <c r="D126" s="25"/>
      <c r="E126" s="62"/>
      <c r="F126" s="25"/>
      <c r="G126" s="30"/>
      <c r="H126" s="29"/>
      <c r="I126" s="29"/>
      <c r="J126" s="25"/>
      <c r="K126" s="26"/>
      <c r="L126" s="52" t="str">
        <f t="shared" si="5"/>
        <v>0</v>
      </c>
      <c r="M126" s="49"/>
      <c r="N126" s="50" t="e">
        <f>VLOOKUP($M126,#REF!,6,0)</f>
        <v>#REF!</v>
      </c>
      <c r="O126" s="27" t="e">
        <f>VLOOKUP($M126,#REF!,3,0)</f>
        <v>#REF!</v>
      </c>
      <c r="P126" s="43" t="e">
        <f t="shared" si="6"/>
        <v>#REF!</v>
      </c>
      <c r="Q126" s="27" t="e">
        <f>VLOOKUP($M126,#REF!,2,0)</f>
        <v>#REF!</v>
      </c>
      <c r="R126" s="28" t="e">
        <f t="shared" si="8"/>
        <v>#REF!</v>
      </c>
    </row>
    <row r="127" spans="1:18" ht="17.5" thickBot="1">
      <c r="A127" s="32"/>
      <c r="B127" s="25"/>
      <c r="C127" s="62"/>
      <c r="D127" s="25"/>
      <c r="E127" s="62"/>
      <c r="F127" s="25"/>
      <c r="G127" s="30"/>
      <c r="H127" s="30"/>
      <c r="I127" s="30"/>
      <c r="J127" s="25"/>
      <c r="K127" s="26"/>
      <c r="L127" s="52" t="str">
        <f t="shared" si="5"/>
        <v>0</v>
      </c>
      <c r="M127" s="49"/>
      <c r="N127" s="50" t="e">
        <f>VLOOKUP($M127,#REF!,6,0)</f>
        <v>#REF!</v>
      </c>
      <c r="O127" s="27" t="e">
        <f>VLOOKUP($M127,#REF!,3,0)</f>
        <v>#REF!</v>
      </c>
      <c r="P127" s="43" t="e">
        <f t="shared" si="6"/>
        <v>#REF!</v>
      </c>
      <c r="Q127" s="27" t="e">
        <f>VLOOKUP($M127,#REF!,2,0)</f>
        <v>#REF!</v>
      </c>
      <c r="R127" s="28" t="e">
        <f t="shared" si="8"/>
        <v>#REF!</v>
      </c>
    </row>
    <row r="128" spans="1:18" ht="17.5" thickBot="1">
      <c r="A128" s="24"/>
      <c r="B128" s="25"/>
      <c r="C128" s="64"/>
      <c r="D128" s="33"/>
      <c r="E128" s="62"/>
      <c r="F128" s="33"/>
      <c r="G128" s="30"/>
      <c r="H128" s="34"/>
      <c r="I128" s="34"/>
      <c r="J128" s="33"/>
      <c r="K128" s="26"/>
      <c r="L128" s="52" t="str">
        <f t="shared" ref="L128:L190" si="9" xml:space="preserve"> "0"&amp;C128</f>
        <v>0</v>
      </c>
      <c r="M128" s="49"/>
      <c r="N128" s="50" t="e">
        <f>VLOOKUP($M128,#REF!,6,0)</f>
        <v>#REF!</v>
      </c>
      <c r="O128" s="27" t="e">
        <f>VLOOKUP($M128,#REF!,3,0)</f>
        <v>#REF!</v>
      </c>
      <c r="P128" s="43" t="e">
        <f t="shared" ref="P128:P190" si="10">O128=E128</f>
        <v>#REF!</v>
      </c>
      <c r="Q128" s="27" t="e">
        <f>VLOOKUP($M128,#REF!,2,0)</f>
        <v>#REF!</v>
      </c>
      <c r="R128" s="28" t="e">
        <f t="shared" si="8"/>
        <v>#REF!</v>
      </c>
    </row>
    <row r="129" spans="1:18" ht="17.5" thickBot="1">
      <c r="A129" s="24"/>
      <c r="B129" s="25"/>
      <c r="C129" s="62"/>
      <c r="D129" s="25"/>
      <c r="E129" s="62"/>
      <c r="F129" s="25"/>
      <c r="G129" s="30"/>
      <c r="H129" s="26"/>
      <c r="I129" s="26"/>
      <c r="J129" s="25"/>
      <c r="K129" s="26"/>
      <c r="L129" s="52" t="str">
        <f t="shared" si="9"/>
        <v>0</v>
      </c>
      <c r="M129" s="49"/>
      <c r="N129" s="50" t="e">
        <f>VLOOKUP($M129,#REF!,6,0)</f>
        <v>#REF!</v>
      </c>
      <c r="O129" s="27" t="e">
        <f>VLOOKUP($M129,#REF!,3,0)</f>
        <v>#REF!</v>
      </c>
      <c r="P129" s="43" t="e">
        <f t="shared" si="10"/>
        <v>#REF!</v>
      </c>
      <c r="Q129" s="27" t="e">
        <f>VLOOKUP($M129,#REF!,2,0)</f>
        <v>#REF!</v>
      </c>
      <c r="R129" s="28" t="e">
        <f t="shared" si="8"/>
        <v>#REF!</v>
      </c>
    </row>
    <row r="130" spans="1:18" ht="17.5" thickBot="1">
      <c r="A130" s="31"/>
      <c r="B130" s="25"/>
      <c r="C130" s="62"/>
      <c r="D130" s="25"/>
      <c r="E130" s="62"/>
      <c r="F130" s="25"/>
      <c r="G130" s="30"/>
      <c r="H130" s="29"/>
      <c r="I130" s="29"/>
      <c r="J130" s="25"/>
      <c r="K130" s="26"/>
      <c r="L130" s="52" t="str">
        <f t="shared" si="9"/>
        <v>0</v>
      </c>
      <c r="M130" s="49"/>
      <c r="N130" s="50" t="e">
        <f>VLOOKUP($M130,#REF!,6,0)</f>
        <v>#REF!</v>
      </c>
      <c r="O130" s="27" t="e">
        <f>VLOOKUP($M130,#REF!,3,0)</f>
        <v>#REF!</v>
      </c>
      <c r="P130" s="43" t="e">
        <f t="shared" si="10"/>
        <v>#REF!</v>
      </c>
      <c r="Q130" s="27" t="e">
        <f>VLOOKUP($M130,#REF!,2,0)</f>
        <v>#REF!</v>
      </c>
      <c r="R130" s="28" t="e">
        <f t="shared" si="8"/>
        <v>#REF!</v>
      </c>
    </row>
    <row r="131" spans="1:18" ht="17.5" thickBot="1">
      <c r="A131" s="31"/>
      <c r="B131" s="25"/>
      <c r="C131" s="62"/>
      <c r="D131" s="25"/>
      <c r="E131" s="62"/>
      <c r="F131" s="25"/>
      <c r="G131" s="30"/>
      <c r="H131" s="29"/>
      <c r="I131" s="29"/>
      <c r="J131" s="25"/>
      <c r="K131" s="26"/>
      <c r="L131" s="52" t="str">
        <f t="shared" si="9"/>
        <v>0</v>
      </c>
      <c r="M131" s="49"/>
      <c r="N131" s="50" t="e">
        <f>VLOOKUP($M131,#REF!,6,0)</f>
        <v>#REF!</v>
      </c>
      <c r="O131" s="27" t="e">
        <f>VLOOKUP($M131,#REF!,3,0)</f>
        <v>#REF!</v>
      </c>
      <c r="P131" s="43" t="e">
        <f t="shared" si="10"/>
        <v>#REF!</v>
      </c>
      <c r="Q131" s="27" t="e">
        <f>VLOOKUP($M131,#REF!,2,0)</f>
        <v>#REF!</v>
      </c>
      <c r="R131" s="28" t="e">
        <f t="shared" si="8"/>
        <v>#REF!</v>
      </c>
    </row>
    <row r="132" spans="1:18" ht="17.5" thickBot="1">
      <c r="A132" s="31"/>
      <c r="B132" s="25"/>
      <c r="C132" s="62"/>
      <c r="D132" s="25"/>
      <c r="E132" s="62"/>
      <c r="F132" s="25"/>
      <c r="G132" s="30"/>
      <c r="H132" s="29"/>
      <c r="I132" s="29"/>
      <c r="J132" s="25"/>
      <c r="K132" s="26"/>
      <c r="L132" s="52" t="str">
        <f t="shared" si="9"/>
        <v>0</v>
      </c>
      <c r="M132" s="49"/>
      <c r="N132" s="50" t="e">
        <f>VLOOKUP($M132,#REF!,6,0)</f>
        <v>#REF!</v>
      </c>
      <c r="O132" s="27" t="e">
        <f>VLOOKUP($M132,#REF!,3,0)</f>
        <v>#REF!</v>
      </c>
      <c r="P132" s="43" t="e">
        <f t="shared" si="10"/>
        <v>#REF!</v>
      </c>
      <c r="Q132" s="27" t="e">
        <f>VLOOKUP($M132,#REF!,2,0)</f>
        <v>#REF!</v>
      </c>
      <c r="R132" s="28" t="e">
        <f t="shared" si="8"/>
        <v>#REF!</v>
      </c>
    </row>
    <row r="133" spans="1:18" ht="17.5" thickBot="1">
      <c r="A133" s="31"/>
      <c r="B133" s="25"/>
      <c r="C133" s="62"/>
      <c r="D133" s="25"/>
      <c r="E133" s="62"/>
      <c r="F133" s="25"/>
      <c r="G133" s="30"/>
      <c r="H133" s="29"/>
      <c r="I133" s="29"/>
      <c r="J133" s="25"/>
      <c r="K133" s="26"/>
      <c r="L133" s="52" t="str">
        <f t="shared" si="9"/>
        <v>0</v>
      </c>
      <c r="M133" s="49"/>
      <c r="N133" s="50" t="e">
        <f>VLOOKUP($M133,#REF!,6,0)</f>
        <v>#REF!</v>
      </c>
      <c r="O133" s="27" t="e">
        <f>VLOOKUP($M133,#REF!,3,0)</f>
        <v>#REF!</v>
      </c>
      <c r="P133" s="43" t="e">
        <f t="shared" si="10"/>
        <v>#REF!</v>
      </c>
      <c r="Q133" s="27" t="e">
        <f>VLOOKUP($M133,#REF!,2,0)</f>
        <v>#REF!</v>
      </c>
      <c r="R133" s="28" t="e">
        <f t="shared" si="8"/>
        <v>#REF!</v>
      </c>
    </row>
    <row r="134" spans="1:18" ht="17.5" thickBot="1">
      <c r="A134" s="31"/>
      <c r="B134" s="25"/>
      <c r="C134" s="62"/>
      <c r="D134" s="25"/>
      <c r="E134" s="62"/>
      <c r="F134" s="25"/>
      <c r="G134" s="30"/>
      <c r="H134" s="29"/>
      <c r="I134" s="29"/>
      <c r="J134" s="25"/>
      <c r="K134" s="26"/>
      <c r="L134" s="52" t="str">
        <f t="shared" si="9"/>
        <v>0</v>
      </c>
      <c r="M134" s="49"/>
      <c r="N134" s="50" t="e">
        <f>VLOOKUP($M134,#REF!,6,0)</f>
        <v>#REF!</v>
      </c>
      <c r="O134" s="27" t="e">
        <f>VLOOKUP($M134,#REF!,3,0)</f>
        <v>#REF!</v>
      </c>
      <c r="P134" s="43" t="e">
        <f t="shared" si="10"/>
        <v>#REF!</v>
      </c>
      <c r="Q134" s="27" t="e">
        <f>VLOOKUP($M134,#REF!,2,0)</f>
        <v>#REF!</v>
      </c>
      <c r="R134" s="28" t="e">
        <f t="shared" si="8"/>
        <v>#REF!</v>
      </c>
    </row>
    <row r="135" spans="1:18" ht="17.5" thickBot="1">
      <c r="A135" s="31"/>
      <c r="B135" s="25"/>
      <c r="C135" s="62"/>
      <c r="D135" s="25"/>
      <c r="E135" s="62"/>
      <c r="F135" s="25"/>
      <c r="G135" s="30"/>
      <c r="H135" s="26"/>
      <c r="I135" s="26"/>
      <c r="J135" s="25"/>
      <c r="K135" s="26"/>
      <c r="L135" s="52" t="str">
        <f t="shared" si="9"/>
        <v>0</v>
      </c>
      <c r="M135" s="49"/>
      <c r="N135" s="50" t="e">
        <f>VLOOKUP($M135,#REF!,6,0)</f>
        <v>#REF!</v>
      </c>
      <c r="O135" s="27" t="e">
        <f>VLOOKUP($M135,#REF!,3,0)</f>
        <v>#REF!</v>
      </c>
      <c r="P135" s="43" t="e">
        <f t="shared" si="10"/>
        <v>#REF!</v>
      </c>
      <c r="Q135" s="27" t="e">
        <f>VLOOKUP($M135,#REF!,2,0)</f>
        <v>#REF!</v>
      </c>
      <c r="R135" s="28" t="e">
        <f t="shared" si="8"/>
        <v>#REF!</v>
      </c>
    </row>
    <row r="136" spans="1:18" ht="17.5" thickBot="1">
      <c r="A136" s="31"/>
      <c r="B136" s="25"/>
      <c r="C136" s="62"/>
      <c r="D136" s="25"/>
      <c r="E136" s="62"/>
      <c r="F136" s="25"/>
      <c r="G136" s="30"/>
      <c r="H136" s="26"/>
      <c r="I136" s="26"/>
      <c r="J136" s="25"/>
      <c r="K136" s="26"/>
      <c r="L136" s="52" t="str">
        <f t="shared" si="9"/>
        <v>0</v>
      </c>
      <c r="M136" s="49"/>
      <c r="N136" s="50" t="e">
        <f>VLOOKUP($M136,#REF!,6,0)</f>
        <v>#REF!</v>
      </c>
      <c r="O136" s="27" t="e">
        <f>VLOOKUP($M136,#REF!,3,0)</f>
        <v>#REF!</v>
      </c>
      <c r="P136" s="43" t="e">
        <f t="shared" si="10"/>
        <v>#REF!</v>
      </c>
      <c r="Q136" s="27" t="e">
        <f>VLOOKUP($M136,#REF!,2,0)</f>
        <v>#REF!</v>
      </c>
      <c r="R136" s="28" t="e">
        <f t="shared" si="8"/>
        <v>#REF!</v>
      </c>
    </row>
    <row r="137" spans="1:18" ht="17.5" thickBot="1">
      <c r="A137" s="31"/>
      <c r="B137" s="25"/>
      <c r="C137" s="62"/>
      <c r="D137" s="25"/>
      <c r="E137" s="62"/>
      <c r="F137" s="25"/>
      <c r="G137" s="30"/>
      <c r="H137" s="26"/>
      <c r="I137" s="26"/>
      <c r="J137" s="25"/>
      <c r="K137" s="26"/>
      <c r="L137" s="52" t="str">
        <f t="shared" si="9"/>
        <v>0</v>
      </c>
      <c r="M137" s="49"/>
      <c r="N137" s="50" t="e">
        <f>VLOOKUP($M137,#REF!,6,0)</f>
        <v>#REF!</v>
      </c>
      <c r="O137" s="27" t="e">
        <f>VLOOKUP($M137,#REF!,3,0)</f>
        <v>#REF!</v>
      </c>
      <c r="P137" s="43" t="e">
        <f t="shared" si="10"/>
        <v>#REF!</v>
      </c>
      <c r="Q137" s="27" t="e">
        <f>VLOOKUP($M137,#REF!,2,0)</f>
        <v>#REF!</v>
      </c>
      <c r="R137" s="28" t="e">
        <f t="shared" si="8"/>
        <v>#REF!</v>
      </c>
    </row>
    <row r="138" spans="1:18" ht="17.5" thickBot="1">
      <c r="A138" s="31"/>
      <c r="B138" s="25"/>
      <c r="C138" s="62"/>
      <c r="D138" s="25"/>
      <c r="E138" s="62"/>
      <c r="F138" s="25"/>
      <c r="G138" s="30"/>
      <c r="H138" s="35"/>
      <c r="I138" s="35"/>
      <c r="J138" s="25"/>
      <c r="K138" s="26"/>
      <c r="L138" s="52" t="str">
        <f t="shared" si="9"/>
        <v>0</v>
      </c>
      <c r="M138" s="49"/>
      <c r="N138" s="50" t="e">
        <f>VLOOKUP($M138,#REF!,6,0)</f>
        <v>#REF!</v>
      </c>
      <c r="O138" s="27" t="e">
        <f>VLOOKUP($M138,#REF!,3,0)</f>
        <v>#REF!</v>
      </c>
      <c r="P138" s="43" t="e">
        <f t="shared" si="10"/>
        <v>#REF!</v>
      </c>
      <c r="Q138" s="27" t="e">
        <f>VLOOKUP($M138,#REF!,2,0)</f>
        <v>#REF!</v>
      </c>
      <c r="R138" s="28" t="e">
        <f t="shared" si="8"/>
        <v>#REF!</v>
      </c>
    </row>
    <row r="139" spans="1:18" ht="17.5" thickBot="1">
      <c r="A139" s="31"/>
      <c r="B139" s="25"/>
      <c r="C139" s="62"/>
      <c r="D139" s="25"/>
      <c r="E139" s="62"/>
      <c r="F139" s="25"/>
      <c r="G139" s="30"/>
      <c r="H139" s="35"/>
      <c r="I139" s="35"/>
      <c r="J139" s="25"/>
      <c r="K139" s="26"/>
      <c r="L139" s="52" t="str">
        <f t="shared" si="9"/>
        <v>0</v>
      </c>
      <c r="M139" s="49"/>
      <c r="N139" s="50" t="e">
        <f>VLOOKUP($M139,#REF!,6,0)</f>
        <v>#REF!</v>
      </c>
      <c r="O139" s="27" t="e">
        <f>VLOOKUP($M139,#REF!,3,0)</f>
        <v>#REF!</v>
      </c>
      <c r="P139" s="43" t="e">
        <f t="shared" si="10"/>
        <v>#REF!</v>
      </c>
      <c r="Q139" s="27" t="e">
        <f>VLOOKUP($M139,#REF!,2,0)</f>
        <v>#REF!</v>
      </c>
      <c r="R139" s="28" t="e">
        <f t="shared" si="8"/>
        <v>#REF!</v>
      </c>
    </row>
    <row r="140" spans="1:18" ht="17.5" thickBot="1">
      <c r="A140" s="31"/>
      <c r="B140" s="25"/>
      <c r="C140" s="62"/>
      <c r="D140" s="25"/>
      <c r="E140" s="62"/>
      <c r="F140" s="25"/>
      <c r="G140" s="30"/>
      <c r="H140" s="35"/>
      <c r="I140" s="35"/>
      <c r="J140" s="25"/>
      <c r="K140" s="26"/>
      <c r="L140" s="52" t="str">
        <f t="shared" si="9"/>
        <v>0</v>
      </c>
      <c r="M140" s="49"/>
      <c r="N140" s="50" t="e">
        <f>VLOOKUP($M140,#REF!,6,0)</f>
        <v>#REF!</v>
      </c>
      <c r="O140" s="27" t="e">
        <f>VLOOKUP($M140,#REF!,3,0)</f>
        <v>#REF!</v>
      </c>
      <c r="P140" s="43" t="e">
        <f t="shared" si="10"/>
        <v>#REF!</v>
      </c>
      <c r="Q140" s="27" t="e">
        <f>VLOOKUP($M140,#REF!,2,0)</f>
        <v>#REF!</v>
      </c>
      <c r="R140" s="28" t="e">
        <f t="shared" si="8"/>
        <v>#REF!</v>
      </c>
    </row>
    <row r="141" spans="1:18" ht="17.5" thickBot="1">
      <c r="A141" s="31"/>
      <c r="B141" s="25"/>
      <c r="C141" s="62"/>
      <c r="D141" s="25"/>
      <c r="E141" s="62"/>
      <c r="F141" s="25"/>
      <c r="G141" s="30"/>
      <c r="H141" s="35"/>
      <c r="I141" s="35"/>
      <c r="J141" s="25"/>
      <c r="K141" s="26"/>
      <c r="L141" s="52" t="str">
        <f t="shared" si="9"/>
        <v>0</v>
      </c>
      <c r="M141" s="49"/>
      <c r="N141" s="50" t="e">
        <f>VLOOKUP($M141,#REF!,6,0)</f>
        <v>#REF!</v>
      </c>
      <c r="O141" s="27" t="e">
        <f>VLOOKUP($M141,#REF!,3,0)</f>
        <v>#REF!</v>
      </c>
      <c r="P141" s="43" t="e">
        <f t="shared" si="10"/>
        <v>#REF!</v>
      </c>
      <c r="Q141" s="27" t="e">
        <f>VLOOKUP($M141,#REF!,2,0)</f>
        <v>#REF!</v>
      </c>
      <c r="R141" s="28" t="e">
        <f t="shared" si="8"/>
        <v>#REF!</v>
      </c>
    </row>
    <row r="142" spans="1:18" ht="17.5" thickBot="1">
      <c r="A142" s="31"/>
      <c r="B142" s="25"/>
      <c r="C142" s="62"/>
      <c r="D142" s="25"/>
      <c r="E142" s="62"/>
      <c r="F142" s="25"/>
      <c r="G142" s="30"/>
      <c r="H142" s="35"/>
      <c r="I142" s="35"/>
      <c r="J142" s="25"/>
      <c r="K142" s="26"/>
      <c r="L142" s="52" t="str">
        <f t="shared" si="9"/>
        <v>0</v>
      </c>
      <c r="M142" s="49"/>
      <c r="N142" s="50" t="e">
        <f>VLOOKUP($M142,#REF!,6,0)</f>
        <v>#REF!</v>
      </c>
      <c r="O142" s="27" t="e">
        <f>VLOOKUP($M142,#REF!,3,0)</f>
        <v>#REF!</v>
      </c>
      <c r="P142" s="43" t="e">
        <f t="shared" si="10"/>
        <v>#REF!</v>
      </c>
      <c r="Q142" s="27" t="e">
        <f>VLOOKUP($M142,#REF!,2,0)</f>
        <v>#REF!</v>
      </c>
      <c r="R142" s="28" t="e">
        <f t="shared" si="8"/>
        <v>#REF!</v>
      </c>
    </row>
    <row r="143" spans="1:18" ht="17.5" thickBot="1">
      <c r="A143" s="31"/>
      <c r="B143" s="25"/>
      <c r="C143" s="62"/>
      <c r="D143" s="25"/>
      <c r="E143" s="62"/>
      <c r="F143" s="25"/>
      <c r="G143" s="30"/>
      <c r="H143" s="35"/>
      <c r="I143" s="35"/>
      <c r="J143" s="25"/>
      <c r="K143" s="26"/>
      <c r="L143" s="52" t="str">
        <f t="shared" si="9"/>
        <v>0</v>
      </c>
      <c r="M143" s="49"/>
      <c r="N143" s="50" t="e">
        <f>VLOOKUP($M143,#REF!,6,0)</f>
        <v>#REF!</v>
      </c>
      <c r="O143" s="27" t="e">
        <f>VLOOKUP($M143,#REF!,3,0)</f>
        <v>#REF!</v>
      </c>
      <c r="P143" s="43" t="e">
        <f t="shared" si="10"/>
        <v>#REF!</v>
      </c>
      <c r="Q143" s="27" t="e">
        <f>VLOOKUP($M143,#REF!,2,0)</f>
        <v>#REF!</v>
      </c>
      <c r="R143" s="28" t="e">
        <f t="shared" si="8"/>
        <v>#REF!</v>
      </c>
    </row>
    <row r="144" spans="1:18" ht="17.5" thickBot="1">
      <c r="A144" s="31"/>
      <c r="B144" s="25"/>
      <c r="C144" s="62"/>
      <c r="D144" s="25"/>
      <c r="E144" s="62"/>
      <c r="F144" s="25"/>
      <c r="G144" s="30"/>
      <c r="H144" s="35"/>
      <c r="I144" s="35"/>
      <c r="J144" s="25"/>
      <c r="K144" s="26"/>
      <c r="L144" s="52" t="str">
        <f t="shared" si="9"/>
        <v>0</v>
      </c>
      <c r="M144" s="49"/>
      <c r="N144" s="50" t="e">
        <f>VLOOKUP($M144,#REF!,6,0)</f>
        <v>#REF!</v>
      </c>
      <c r="O144" s="27" t="e">
        <f>VLOOKUP($M144,#REF!,3,0)</f>
        <v>#REF!</v>
      </c>
      <c r="P144" s="43" t="e">
        <f t="shared" si="10"/>
        <v>#REF!</v>
      </c>
      <c r="Q144" s="27" t="e">
        <f>VLOOKUP($M144,#REF!,2,0)</f>
        <v>#REF!</v>
      </c>
      <c r="R144" s="28" t="e">
        <f t="shared" si="8"/>
        <v>#REF!</v>
      </c>
    </row>
    <row r="145" spans="1:18" ht="17.5" thickBot="1">
      <c r="A145" s="31"/>
      <c r="B145" s="25"/>
      <c r="C145" s="62"/>
      <c r="D145" s="25"/>
      <c r="E145" s="62"/>
      <c r="F145" s="25"/>
      <c r="G145" s="30"/>
      <c r="H145" s="35"/>
      <c r="I145" s="29"/>
      <c r="J145" s="25"/>
      <c r="K145" s="26"/>
      <c r="L145" s="52" t="str">
        <f t="shared" si="9"/>
        <v>0</v>
      </c>
      <c r="M145" s="49"/>
      <c r="N145" s="50" t="e">
        <f>VLOOKUP($M145,#REF!,6,0)</f>
        <v>#REF!</v>
      </c>
      <c r="O145" s="27" t="e">
        <f>VLOOKUP($M145,#REF!,3,0)</f>
        <v>#REF!</v>
      </c>
      <c r="P145" s="43" t="e">
        <f t="shared" si="10"/>
        <v>#REF!</v>
      </c>
      <c r="Q145" s="27" t="e">
        <f>VLOOKUP($M145,#REF!,2,0)</f>
        <v>#REF!</v>
      </c>
      <c r="R145" s="28" t="e">
        <f t="shared" si="8"/>
        <v>#REF!</v>
      </c>
    </row>
    <row r="146" spans="1:18" ht="17.5" thickBot="1">
      <c r="A146" s="31"/>
      <c r="B146" s="25"/>
      <c r="C146" s="62"/>
      <c r="D146" s="25"/>
      <c r="E146" s="62"/>
      <c r="F146" s="25"/>
      <c r="G146" s="30"/>
      <c r="H146" s="35"/>
      <c r="I146" s="35"/>
      <c r="J146" s="25"/>
      <c r="K146" s="26"/>
      <c r="L146" s="52" t="str">
        <f t="shared" si="9"/>
        <v>0</v>
      </c>
      <c r="M146" s="49"/>
      <c r="N146" s="50" t="e">
        <f>VLOOKUP($M146,#REF!,6,0)</f>
        <v>#REF!</v>
      </c>
      <c r="O146" s="27" t="e">
        <f>VLOOKUP($M146,#REF!,3,0)</f>
        <v>#REF!</v>
      </c>
      <c r="P146" s="43" t="e">
        <f t="shared" si="10"/>
        <v>#REF!</v>
      </c>
      <c r="Q146" s="27" t="e">
        <f>VLOOKUP($M146,#REF!,2,0)</f>
        <v>#REF!</v>
      </c>
      <c r="R146" s="28" t="e">
        <f t="shared" si="8"/>
        <v>#REF!</v>
      </c>
    </row>
    <row r="147" spans="1:18" ht="17.5" thickBot="1">
      <c r="A147" s="31"/>
      <c r="B147" s="25"/>
      <c r="C147" s="62"/>
      <c r="D147" s="25"/>
      <c r="E147" s="62"/>
      <c r="F147" s="25"/>
      <c r="G147" s="30"/>
      <c r="H147" s="35"/>
      <c r="I147" s="35"/>
      <c r="J147" s="25"/>
      <c r="K147" s="26"/>
      <c r="L147" s="52" t="str">
        <f t="shared" si="9"/>
        <v>0</v>
      </c>
      <c r="M147" s="49"/>
      <c r="N147" s="50" t="e">
        <f>VLOOKUP($M147,#REF!,6,0)</f>
        <v>#REF!</v>
      </c>
      <c r="O147" s="27" t="e">
        <f>VLOOKUP($M147,#REF!,3,0)</f>
        <v>#REF!</v>
      </c>
      <c r="P147" s="43" t="e">
        <f t="shared" si="10"/>
        <v>#REF!</v>
      </c>
      <c r="Q147" s="27" t="e">
        <f>VLOOKUP($M147,#REF!,2,0)</f>
        <v>#REF!</v>
      </c>
      <c r="R147" s="28" t="e">
        <f t="shared" si="8"/>
        <v>#REF!</v>
      </c>
    </row>
    <row r="148" spans="1:18" ht="17.5" thickBot="1">
      <c r="A148" s="31"/>
      <c r="B148" s="25"/>
      <c r="C148" s="62"/>
      <c r="D148" s="25"/>
      <c r="E148" s="62"/>
      <c r="F148" s="25"/>
      <c r="G148" s="30"/>
      <c r="H148" s="35"/>
      <c r="I148" s="35"/>
      <c r="J148" s="25"/>
      <c r="K148" s="26"/>
      <c r="L148" s="52" t="str">
        <f t="shared" si="9"/>
        <v>0</v>
      </c>
      <c r="M148" s="49"/>
      <c r="N148" s="50" t="e">
        <f>VLOOKUP($M148,#REF!,6,0)</f>
        <v>#REF!</v>
      </c>
      <c r="O148" s="27" t="e">
        <f>VLOOKUP($M148,#REF!,3,0)</f>
        <v>#REF!</v>
      </c>
      <c r="P148" s="43" t="e">
        <f t="shared" si="10"/>
        <v>#REF!</v>
      </c>
      <c r="Q148" s="27" t="e">
        <f>VLOOKUP($M148,#REF!,2,0)</f>
        <v>#REF!</v>
      </c>
      <c r="R148" s="28" t="e">
        <f t="shared" si="8"/>
        <v>#REF!</v>
      </c>
    </row>
    <row r="149" spans="1:18" ht="17.5" thickBot="1">
      <c r="A149" s="31"/>
      <c r="B149" s="25"/>
      <c r="C149" s="62"/>
      <c r="D149" s="25"/>
      <c r="E149" s="62"/>
      <c r="F149" s="25"/>
      <c r="G149" s="30"/>
      <c r="H149" s="35"/>
      <c r="I149" s="35"/>
      <c r="J149" s="25"/>
      <c r="K149" s="26"/>
      <c r="L149" s="52" t="str">
        <f t="shared" si="9"/>
        <v>0</v>
      </c>
      <c r="M149" s="49"/>
      <c r="N149" s="50" t="e">
        <f>VLOOKUP($M149,#REF!,6,0)</f>
        <v>#REF!</v>
      </c>
      <c r="O149" s="27" t="e">
        <f>VLOOKUP($M149,#REF!,3,0)</f>
        <v>#REF!</v>
      </c>
      <c r="P149" s="43" t="e">
        <f t="shared" si="10"/>
        <v>#REF!</v>
      </c>
      <c r="Q149" s="27" t="e">
        <f>VLOOKUP($M149,#REF!,2,0)</f>
        <v>#REF!</v>
      </c>
      <c r="R149" s="28" t="e">
        <f t="shared" si="8"/>
        <v>#REF!</v>
      </c>
    </row>
    <row r="150" spans="1:18" ht="17.5" thickBot="1">
      <c r="A150" s="36"/>
      <c r="B150" s="33"/>
      <c r="C150" s="64"/>
      <c r="D150" s="33"/>
      <c r="E150" s="62"/>
      <c r="F150" s="33"/>
      <c r="G150" s="30"/>
      <c r="H150" s="34"/>
      <c r="I150" s="34"/>
      <c r="J150" s="33"/>
      <c r="K150" s="26"/>
      <c r="L150" s="52" t="str">
        <f t="shared" si="9"/>
        <v>0</v>
      </c>
      <c r="M150" s="49"/>
      <c r="N150" s="50" t="e">
        <f>VLOOKUP($M150,#REF!,6,0)</f>
        <v>#REF!</v>
      </c>
      <c r="O150" s="27" t="e">
        <f>VLOOKUP($M150,#REF!,3,0)</f>
        <v>#REF!</v>
      </c>
      <c r="P150" s="43" t="e">
        <f t="shared" si="10"/>
        <v>#REF!</v>
      </c>
      <c r="Q150" s="27" t="e">
        <f>VLOOKUP($M150,#REF!,2,0)</f>
        <v>#REF!</v>
      </c>
      <c r="R150" s="28" t="e">
        <f t="shared" si="8"/>
        <v>#REF!</v>
      </c>
    </row>
    <row r="151" spans="1:18" ht="17.5" thickBot="1">
      <c r="A151" s="31"/>
      <c r="B151" s="33"/>
      <c r="C151" s="64"/>
      <c r="D151" s="33"/>
      <c r="E151" s="62"/>
      <c r="F151" s="33"/>
      <c r="G151" s="30"/>
      <c r="H151" s="34"/>
      <c r="I151" s="34"/>
      <c r="J151" s="33"/>
      <c r="K151" s="26"/>
      <c r="L151" s="52" t="str">
        <f t="shared" si="9"/>
        <v>0</v>
      </c>
      <c r="M151" s="49"/>
      <c r="N151" s="50" t="e">
        <f>VLOOKUP($M151,#REF!,6,0)</f>
        <v>#REF!</v>
      </c>
      <c r="O151" s="27" t="e">
        <f>VLOOKUP($M151,#REF!,3,0)</f>
        <v>#REF!</v>
      </c>
      <c r="P151" s="43" t="e">
        <f t="shared" si="10"/>
        <v>#REF!</v>
      </c>
      <c r="Q151" s="27" t="e">
        <f>VLOOKUP($M151,#REF!,2,0)</f>
        <v>#REF!</v>
      </c>
      <c r="R151" s="28" t="e">
        <f t="shared" si="8"/>
        <v>#REF!</v>
      </c>
    </row>
    <row r="152" spans="1:18" ht="17.5" thickBot="1">
      <c r="A152" s="31"/>
      <c r="B152" s="33"/>
      <c r="C152" s="64"/>
      <c r="D152" s="33"/>
      <c r="E152" s="62"/>
      <c r="F152" s="33"/>
      <c r="G152" s="30"/>
      <c r="H152" s="34"/>
      <c r="I152" s="34"/>
      <c r="J152" s="33"/>
      <c r="K152" s="26"/>
      <c r="L152" s="52" t="str">
        <f t="shared" si="9"/>
        <v>0</v>
      </c>
      <c r="M152" s="49"/>
      <c r="N152" s="50" t="e">
        <f>VLOOKUP($M152,#REF!,6,0)</f>
        <v>#REF!</v>
      </c>
      <c r="O152" s="27" t="e">
        <f>VLOOKUP($M152,#REF!,3,0)</f>
        <v>#REF!</v>
      </c>
      <c r="P152" s="43" t="e">
        <f t="shared" si="10"/>
        <v>#REF!</v>
      </c>
      <c r="Q152" s="27" t="e">
        <f>VLOOKUP($M152,#REF!,2,0)</f>
        <v>#REF!</v>
      </c>
      <c r="R152" s="28" t="e">
        <f t="shared" si="8"/>
        <v>#REF!</v>
      </c>
    </row>
    <row r="153" spans="1:18" ht="17.5" thickBot="1">
      <c r="A153" s="31"/>
      <c r="B153" s="25"/>
      <c r="C153" s="62"/>
      <c r="D153" s="25"/>
      <c r="E153" s="62"/>
      <c r="F153" s="25"/>
      <c r="G153" s="30"/>
      <c r="H153" s="26"/>
      <c r="I153" s="26"/>
      <c r="J153" s="25"/>
      <c r="K153" s="26"/>
      <c r="L153" s="52" t="str">
        <f t="shared" si="9"/>
        <v>0</v>
      </c>
      <c r="M153" s="49"/>
      <c r="N153" s="50" t="e">
        <f>VLOOKUP($M153,#REF!,6,0)</f>
        <v>#REF!</v>
      </c>
      <c r="O153" s="27" t="e">
        <f>VLOOKUP($M153,#REF!,3,0)</f>
        <v>#REF!</v>
      </c>
      <c r="P153" s="43" t="e">
        <f t="shared" si="10"/>
        <v>#REF!</v>
      </c>
      <c r="Q153" s="27" t="e">
        <f>VLOOKUP($M153,#REF!,2,0)</f>
        <v>#REF!</v>
      </c>
      <c r="R153" s="28" t="e">
        <f t="shared" si="8"/>
        <v>#REF!</v>
      </c>
    </row>
    <row r="154" spans="1:18" ht="17.5" thickBot="1">
      <c r="A154" s="31"/>
      <c r="B154" s="25"/>
      <c r="C154" s="62"/>
      <c r="D154" s="25"/>
      <c r="E154" s="62"/>
      <c r="F154" s="25"/>
      <c r="G154" s="30"/>
      <c r="H154" s="26"/>
      <c r="I154" s="26"/>
      <c r="J154" s="25"/>
      <c r="K154" s="26"/>
      <c r="L154" s="52" t="str">
        <f t="shared" si="9"/>
        <v>0</v>
      </c>
      <c r="M154" s="49"/>
      <c r="N154" s="50" t="e">
        <f>VLOOKUP($M154,#REF!,6,0)</f>
        <v>#REF!</v>
      </c>
      <c r="O154" s="27" t="e">
        <f>VLOOKUP($M154,#REF!,3,0)</f>
        <v>#REF!</v>
      </c>
      <c r="P154" s="43" t="e">
        <f t="shared" si="10"/>
        <v>#REF!</v>
      </c>
      <c r="Q154" s="27" t="e">
        <f>VLOOKUP($M154,#REF!,2,0)</f>
        <v>#REF!</v>
      </c>
      <c r="R154" s="28" t="e">
        <f t="shared" si="8"/>
        <v>#REF!</v>
      </c>
    </row>
    <row r="155" spans="1:18" ht="17.5" thickBot="1">
      <c r="A155" s="31"/>
      <c r="B155" s="25"/>
      <c r="C155" s="62"/>
      <c r="D155" s="25"/>
      <c r="E155" s="62"/>
      <c r="F155" s="25"/>
      <c r="G155" s="30"/>
      <c r="H155" s="26"/>
      <c r="I155" s="26"/>
      <c r="J155" s="25"/>
      <c r="K155" s="26"/>
      <c r="L155" s="52" t="str">
        <f t="shared" si="9"/>
        <v>0</v>
      </c>
      <c r="M155" s="49"/>
      <c r="N155" s="50" t="e">
        <f>VLOOKUP($M155,#REF!,6,0)</f>
        <v>#REF!</v>
      </c>
      <c r="O155" s="27" t="e">
        <f>VLOOKUP($M155,#REF!,3,0)</f>
        <v>#REF!</v>
      </c>
      <c r="P155" s="43" t="e">
        <f t="shared" si="10"/>
        <v>#REF!</v>
      </c>
      <c r="Q155" s="27" t="e">
        <f>VLOOKUP($M155,#REF!,2,0)</f>
        <v>#REF!</v>
      </c>
      <c r="R155" s="28" t="e">
        <f t="shared" si="8"/>
        <v>#REF!</v>
      </c>
    </row>
    <row r="156" spans="1:18" ht="17.5" thickBot="1">
      <c r="A156" s="31"/>
      <c r="B156" s="25"/>
      <c r="C156" s="62"/>
      <c r="D156" s="25"/>
      <c r="E156" s="62"/>
      <c r="F156" s="25"/>
      <c r="G156" s="30"/>
      <c r="H156" s="26"/>
      <c r="I156" s="26"/>
      <c r="J156" s="25"/>
      <c r="K156" s="26"/>
      <c r="L156" s="52" t="str">
        <f t="shared" si="9"/>
        <v>0</v>
      </c>
      <c r="M156" s="49"/>
      <c r="N156" s="50" t="e">
        <f>VLOOKUP($M156,#REF!,6,0)</f>
        <v>#REF!</v>
      </c>
      <c r="O156" s="27" t="e">
        <f>VLOOKUP($M156,#REF!,3,0)</f>
        <v>#REF!</v>
      </c>
      <c r="P156" s="43" t="e">
        <f t="shared" si="10"/>
        <v>#REF!</v>
      </c>
      <c r="Q156" s="27" t="e">
        <f>VLOOKUP($M156,#REF!,2,0)</f>
        <v>#REF!</v>
      </c>
      <c r="R156" s="28" t="e">
        <f t="shared" si="8"/>
        <v>#REF!</v>
      </c>
    </row>
    <row r="157" spans="1:18" ht="17.5" thickBot="1">
      <c r="A157" s="31"/>
      <c r="B157" s="25"/>
      <c r="C157" s="62"/>
      <c r="D157" s="25"/>
      <c r="E157" s="62"/>
      <c r="F157" s="25"/>
      <c r="G157" s="30"/>
      <c r="H157" s="26"/>
      <c r="I157" s="26"/>
      <c r="J157" s="25"/>
      <c r="K157" s="26"/>
      <c r="L157" s="52" t="str">
        <f t="shared" si="9"/>
        <v>0</v>
      </c>
      <c r="M157" s="49"/>
      <c r="N157" s="50" t="e">
        <f>VLOOKUP($M157,#REF!,6,0)</f>
        <v>#REF!</v>
      </c>
      <c r="O157" s="27" t="e">
        <f>VLOOKUP($M157,#REF!,3,0)</f>
        <v>#REF!</v>
      </c>
      <c r="P157" s="43" t="e">
        <f t="shared" si="10"/>
        <v>#REF!</v>
      </c>
      <c r="Q157" s="27" t="e">
        <f>VLOOKUP($M157,#REF!,2,0)</f>
        <v>#REF!</v>
      </c>
      <c r="R157" s="28" t="e">
        <f t="shared" si="8"/>
        <v>#REF!</v>
      </c>
    </row>
    <row r="158" spans="1:18" ht="17.5" thickBot="1">
      <c r="A158" s="31"/>
      <c r="B158" s="25"/>
      <c r="C158" s="62"/>
      <c r="D158" s="25"/>
      <c r="E158" s="62"/>
      <c r="F158" s="25"/>
      <c r="G158" s="30"/>
      <c r="H158" s="26"/>
      <c r="I158" s="26"/>
      <c r="J158" s="25"/>
      <c r="K158" s="26"/>
      <c r="L158" s="52" t="str">
        <f t="shared" si="9"/>
        <v>0</v>
      </c>
      <c r="M158" s="49"/>
      <c r="N158" s="50" t="e">
        <f>VLOOKUP($M158,#REF!,6,0)</f>
        <v>#REF!</v>
      </c>
      <c r="O158" s="27" t="e">
        <f>VLOOKUP($M158,#REF!,3,0)</f>
        <v>#REF!</v>
      </c>
      <c r="P158" s="43" t="e">
        <f t="shared" si="10"/>
        <v>#REF!</v>
      </c>
      <c r="Q158" s="27" t="e">
        <f>VLOOKUP($M158,#REF!,2,0)</f>
        <v>#REF!</v>
      </c>
      <c r="R158" s="28" t="e">
        <f t="shared" si="8"/>
        <v>#REF!</v>
      </c>
    </row>
    <row r="159" spans="1:18" ht="17.5" thickBot="1">
      <c r="A159" s="31"/>
      <c r="B159" s="25"/>
      <c r="C159" s="62"/>
      <c r="D159" s="25"/>
      <c r="E159" s="62"/>
      <c r="F159" s="25"/>
      <c r="G159" s="30"/>
      <c r="H159" s="26"/>
      <c r="I159" s="26"/>
      <c r="J159" s="25"/>
      <c r="K159" s="26"/>
      <c r="L159" s="52" t="str">
        <f t="shared" si="9"/>
        <v>0</v>
      </c>
      <c r="M159" s="49"/>
      <c r="N159" s="50" t="e">
        <f>VLOOKUP($M159,#REF!,6,0)</f>
        <v>#REF!</v>
      </c>
      <c r="O159" s="27" t="e">
        <f>VLOOKUP($M159,#REF!,3,0)</f>
        <v>#REF!</v>
      </c>
      <c r="P159" s="43" t="e">
        <f t="shared" si="10"/>
        <v>#REF!</v>
      </c>
      <c r="Q159" s="27" t="e">
        <f>VLOOKUP($M159,#REF!,2,0)</f>
        <v>#REF!</v>
      </c>
      <c r="R159" s="28" t="e">
        <f t="shared" si="8"/>
        <v>#REF!</v>
      </c>
    </row>
    <row r="160" spans="1:18" ht="17.5" thickBot="1">
      <c r="A160" s="31"/>
      <c r="B160" s="25"/>
      <c r="C160" s="62"/>
      <c r="D160" s="25"/>
      <c r="E160" s="62"/>
      <c r="F160" s="25"/>
      <c r="G160" s="30"/>
      <c r="H160" s="26"/>
      <c r="I160" s="26"/>
      <c r="J160" s="25"/>
      <c r="K160" s="26"/>
      <c r="L160" s="52" t="str">
        <f t="shared" si="9"/>
        <v>0</v>
      </c>
      <c r="M160" s="49"/>
      <c r="N160" s="50" t="e">
        <f>VLOOKUP($M160,#REF!,6,0)</f>
        <v>#REF!</v>
      </c>
      <c r="O160" s="27" t="e">
        <f>VLOOKUP($M160,#REF!,3,0)</f>
        <v>#REF!</v>
      </c>
      <c r="P160" s="43" t="e">
        <f t="shared" si="10"/>
        <v>#REF!</v>
      </c>
      <c r="Q160" s="27" t="e">
        <f>VLOOKUP($M160,#REF!,2,0)</f>
        <v>#REF!</v>
      </c>
      <c r="R160" s="28" t="e">
        <f t="shared" si="8"/>
        <v>#REF!</v>
      </c>
    </row>
    <row r="161" spans="1:18" ht="17.5" thickBot="1">
      <c r="A161" s="37"/>
      <c r="B161" s="33"/>
      <c r="C161" s="64"/>
      <c r="D161" s="33"/>
      <c r="E161" s="62"/>
      <c r="F161" s="33"/>
      <c r="G161" s="30"/>
      <c r="H161" s="38"/>
      <c r="I161" s="38"/>
      <c r="J161" s="39"/>
      <c r="K161" s="26"/>
      <c r="L161" s="52" t="str">
        <f t="shared" si="9"/>
        <v>0</v>
      </c>
      <c r="M161" s="49"/>
      <c r="N161" s="50" t="e">
        <f>VLOOKUP($M161,#REF!,6,0)</f>
        <v>#REF!</v>
      </c>
      <c r="O161" s="27" t="e">
        <f>VLOOKUP($M161,#REF!,3,0)</f>
        <v>#REF!</v>
      </c>
      <c r="P161" s="43" t="e">
        <f t="shared" si="10"/>
        <v>#REF!</v>
      </c>
      <c r="Q161" s="27" t="e">
        <f>VLOOKUP($M161,#REF!,2,0)</f>
        <v>#REF!</v>
      </c>
      <c r="R161" s="28" t="e">
        <f t="shared" si="8"/>
        <v>#REF!</v>
      </c>
    </row>
    <row r="162" spans="1:18" ht="17.5" thickBot="1">
      <c r="A162" s="37"/>
      <c r="B162" s="33"/>
      <c r="C162" s="64"/>
      <c r="D162" s="33"/>
      <c r="E162" s="62"/>
      <c r="F162" s="33"/>
      <c r="G162" s="30"/>
      <c r="H162" s="38"/>
      <c r="I162" s="38"/>
      <c r="J162" s="33"/>
      <c r="K162" s="26"/>
      <c r="L162" s="52" t="str">
        <f t="shared" si="9"/>
        <v>0</v>
      </c>
      <c r="M162" s="49"/>
      <c r="N162" s="50" t="e">
        <f>VLOOKUP($M162,#REF!,6,0)</f>
        <v>#REF!</v>
      </c>
      <c r="O162" s="27" t="e">
        <f>VLOOKUP($M162,#REF!,3,0)</f>
        <v>#REF!</v>
      </c>
      <c r="P162" s="43" t="e">
        <f t="shared" si="10"/>
        <v>#REF!</v>
      </c>
      <c r="Q162" s="27" t="e">
        <f>VLOOKUP($M162,#REF!,2,0)</f>
        <v>#REF!</v>
      </c>
      <c r="R162" s="28" t="e">
        <f t="shared" si="8"/>
        <v>#REF!</v>
      </c>
    </row>
    <row r="163" spans="1:18" ht="17.5" thickBot="1">
      <c r="A163" s="37"/>
      <c r="B163" s="33"/>
      <c r="C163" s="64"/>
      <c r="D163" s="33"/>
      <c r="E163" s="62"/>
      <c r="F163" s="33"/>
      <c r="G163" s="30"/>
      <c r="H163" s="38"/>
      <c r="I163" s="38"/>
      <c r="J163" s="33"/>
      <c r="K163" s="26"/>
      <c r="L163" s="52" t="str">
        <f t="shared" si="9"/>
        <v>0</v>
      </c>
      <c r="M163" s="49"/>
      <c r="N163" s="50" t="e">
        <f>VLOOKUP($M163,#REF!,6,0)</f>
        <v>#REF!</v>
      </c>
      <c r="O163" s="27" t="e">
        <f>VLOOKUP($M163,#REF!,3,0)</f>
        <v>#REF!</v>
      </c>
      <c r="P163" s="43" t="e">
        <f t="shared" si="10"/>
        <v>#REF!</v>
      </c>
      <c r="Q163" s="27" t="e">
        <f>VLOOKUP($M163,#REF!,2,0)</f>
        <v>#REF!</v>
      </c>
      <c r="R163" s="28" t="e">
        <f t="shared" si="8"/>
        <v>#REF!</v>
      </c>
    </row>
    <row r="164" spans="1:18" ht="17.5" thickBot="1">
      <c r="A164" s="37"/>
      <c r="B164" s="33"/>
      <c r="C164" s="64"/>
      <c r="D164" s="33"/>
      <c r="E164" s="62"/>
      <c r="F164" s="33"/>
      <c r="G164" s="30"/>
      <c r="H164" s="38"/>
      <c r="I164" s="38"/>
      <c r="J164" s="33"/>
      <c r="K164" s="26"/>
      <c r="L164" s="52" t="str">
        <f t="shared" si="9"/>
        <v>0</v>
      </c>
      <c r="M164" s="49"/>
      <c r="N164" s="50" t="e">
        <f>VLOOKUP($M164,#REF!,6,0)</f>
        <v>#REF!</v>
      </c>
      <c r="O164" s="27" t="e">
        <f>VLOOKUP($M164,#REF!,3,0)</f>
        <v>#REF!</v>
      </c>
      <c r="P164" s="43" t="e">
        <f t="shared" si="10"/>
        <v>#REF!</v>
      </c>
      <c r="Q164" s="27" t="e">
        <f>VLOOKUP($M164,#REF!,2,0)</f>
        <v>#REF!</v>
      </c>
      <c r="R164" s="28" t="e">
        <f t="shared" si="8"/>
        <v>#REF!</v>
      </c>
    </row>
    <row r="165" spans="1:18" ht="17.5" thickBot="1">
      <c r="A165" s="37"/>
      <c r="B165" s="33"/>
      <c r="C165" s="64"/>
      <c r="D165" s="33"/>
      <c r="E165" s="62"/>
      <c r="F165" s="33"/>
      <c r="G165" s="30"/>
      <c r="H165" s="38"/>
      <c r="I165" s="38"/>
      <c r="J165" s="33"/>
      <c r="K165" s="26"/>
      <c r="L165" s="52" t="str">
        <f t="shared" si="9"/>
        <v>0</v>
      </c>
      <c r="M165" s="49"/>
      <c r="N165" s="50" t="e">
        <f>VLOOKUP($M165,#REF!,6,0)</f>
        <v>#REF!</v>
      </c>
      <c r="O165" s="27" t="e">
        <f>VLOOKUP($M165,#REF!,3,0)</f>
        <v>#REF!</v>
      </c>
      <c r="P165" s="43" t="e">
        <f t="shared" si="10"/>
        <v>#REF!</v>
      </c>
      <c r="Q165" s="27" t="e">
        <f>VLOOKUP($M165,#REF!,2,0)</f>
        <v>#REF!</v>
      </c>
      <c r="R165" s="28" t="e">
        <f t="shared" si="8"/>
        <v>#REF!</v>
      </c>
    </row>
    <row r="166" spans="1:18" ht="17.5" thickBot="1">
      <c r="A166" s="37"/>
      <c r="B166" s="33"/>
      <c r="C166" s="64"/>
      <c r="D166" s="33"/>
      <c r="E166" s="62"/>
      <c r="F166" s="33"/>
      <c r="G166" s="30"/>
      <c r="H166" s="38"/>
      <c r="I166" s="38"/>
      <c r="J166" s="33"/>
      <c r="K166" s="26"/>
      <c r="L166" s="52" t="str">
        <f t="shared" si="9"/>
        <v>0</v>
      </c>
      <c r="M166" s="49"/>
      <c r="N166" s="50" t="e">
        <f>VLOOKUP($M166,#REF!,6,0)</f>
        <v>#REF!</v>
      </c>
      <c r="O166" s="27" t="e">
        <f>VLOOKUP($M166,#REF!,3,0)</f>
        <v>#REF!</v>
      </c>
      <c r="P166" s="43" t="e">
        <f t="shared" si="10"/>
        <v>#REF!</v>
      </c>
      <c r="Q166" s="27" t="e">
        <f>VLOOKUP($M166,#REF!,2,0)</f>
        <v>#REF!</v>
      </c>
      <c r="R166" s="28" t="e">
        <f t="shared" si="8"/>
        <v>#REF!</v>
      </c>
    </row>
    <row r="167" spans="1:18" ht="17.5" thickBot="1">
      <c r="A167" s="37"/>
      <c r="B167" s="25"/>
      <c r="C167" s="62"/>
      <c r="D167" s="25"/>
      <c r="E167" s="62"/>
      <c r="F167" s="25"/>
      <c r="G167" s="30"/>
      <c r="H167" s="26"/>
      <c r="I167" s="26"/>
      <c r="J167" s="25"/>
      <c r="K167" s="26"/>
      <c r="L167" s="52" t="str">
        <f t="shared" si="9"/>
        <v>0</v>
      </c>
      <c r="M167" s="49"/>
      <c r="N167" s="50" t="e">
        <f>VLOOKUP($M167,#REF!,6,0)</f>
        <v>#REF!</v>
      </c>
      <c r="O167" s="27" t="e">
        <f>VLOOKUP($M167,#REF!,3,0)</f>
        <v>#REF!</v>
      </c>
      <c r="P167" s="43" t="e">
        <f t="shared" si="10"/>
        <v>#REF!</v>
      </c>
      <c r="Q167" s="27" t="e">
        <f>VLOOKUP($M167,#REF!,2,0)</f>
        <v>#REF!</v>
      </c>
      <c r="R167" s="28" t="e">
        <f t="shared" si="8"/>
        <v>#REF!</v>
      </c>
    </row>
    <row r="168" spans="1:18" ht="17.5" thickBot="1">
      <c r="A168" s="37"/>
      <c r="B168" s="25"/>
      <c r="C168" s="62"/>
      <c r="D168" s="25"/>
      <c r="E168" s="62"/>
      <c r="F168" s="25"/>
      <c r="G168" s="30"/>
      <c r="H168" s="26"/>
      <c r="I168" s="26"/>
      <c r="J168" s="25"/>
      <c r="K168" s="26"/>
      <c r="L168" s="52" t="str">
        <f t="shared" si="9"/>
        <v>0</v>
      </c>
      <c r="M168" s="49"/>
      <c r="N168" s="50" t="e">
        <f>VLOOKUP($M168,#REF!,6,0)</f>
        <v>#REF!</v>
      </c>
      <c r="O168" s="27" t="e">
        <f>VLOOKUP($M168,#REF!,3,0)</f>
        <v>#REF!</v>
      </c>
      <c r="P168" s="43" t="e">
        <f t="shared" si="10"/>
        <v>#REF!</v>
      </c>
      <c r="Q168" s="27" t="e">
        <f>VLOOKUP($M168,#REF!,2,0)</f>
        <v>#REF!</v>
      </c>
      <c r="R168" s="28" t="e">
        <f t="shared" si="8"/>
        <v>#REF!</v>
      </c>
    </row>
    <row r="169" spans="1:18" ht="17.5" thickBot="1">
      <c r="A169" s="37"/>
      <c r="B169" s="25"/>
      <c r="C169" s="62"/>
      <c r="D169" s="25"/>
      <c r="E169" s="62"/>
      <c r="F169" s="25"/>
      <c r="G169" s="30"/>
      <c r="H169" s="26"/>
      <c r="I169" s="26"/>
      <c r="J169" s="25"/>
      <c r="K169" s="26"/>
      <c r="L169" s="52" t="str">
        <f t="shared" si="9"/>
        <v>0</v>
      </c>
      <c r="M169" s="49"/>
      <c r="N169" s="50" t="e">
        <f>VLOOKUP($M169,#REF!,6,0)</f>
        <v>#REF!</v>
      </c>
      <c r="O169" s="27" t="e">
        <f>VLOOKUP($M169,#REF!,3,0)</f>
        <v>#REF!</v>
      </c>
      <c r="P169" s="43" t="e">
        <f t="shared" si="10"/>
        <v>#REF!</v>
      </c>
      <c r="Q169" s="27" t="e">
        <f>VLOOKUP($M169,#REF!,2,0)</f>
        <v>#REF!</v>
      </c>
      <c r="R169" s="28" t="e">
        <f t="shared" si="8"/>
        <v>#REF!</v>
      </c>
    </row>
    <row r="170" spans="1:18" ht="17.5" thickBot="1">
      <c r="A170" s="37"/>
      <c r="B170" s="25"/>
      <c r="C170" s="62"/>
      <c r="D170" s="25"/>
      <c r="E170" s="62"/>
      <c r="F170" s="25"/>
      <c r="G170" s="30"/>
      <c r="H170" s="26"/>
      <c r="I170" s="26"/>
      <c r="J170" s="25"/>
      <c r="K170" s="26"/>
      <c r="L170" s="52" t="str">
        <f t="shared" si="9"/>
        <v>0</v>
      </c>
      <c r="M170" s="49"/>
      <c r="N170" s="50" t="e">
        <f>VLOOKUP($M170,#REF!,6,0)</f>
        <v>#REF!</v>
      </c>
      <c r="O170" s="27" t="e">
        <f>VLOOKUP($M170,#REF!,3,0)</f>
        <v>#REF!</v>
      </c>
      <c r="P170" s="43" t="e">
        <f t="shared" si="10"/>
        <v>#REF!</v>
      </c>
      <c r="Q170" s="27" t="e">
        <f>VLOOKUP($M170,#REF!,2,0)</f>
        <v>#REF!</v>
      </c>
      <c r="R170" s="28" t="e">
        <f t="shared" si="8"/>
        <v>#REF!</v>
      </c>
    </row>
    <row r="171" spans="1:18" ht="17.5" thickBot="1">
      <c r="A171" s="37"/>
      <c r="B171" s="25"/>
      <c r="C171" s="62"/>
      <c r="D171" s="25"/>
      <c r="E171" s="62"/>
      <c r="F171" s="25"/>
      <c r="G171" s="30"/>
      <c r="H171" s="26"/>
      <c r="I171" s="26"/>
      <c r="J171" s="25"/>
      <c r="K171" s="26"/>
      <c r="L171" s="52" t="str">
        <f t="shared" si="9"/>
        <v>0</v>
      </c>
      <c r="M171" s="49"/>
      <c r="N171" s="50" t="e">
        <f>VLOOKUP($M171,#REF!,6,0)</f>
        <v>#REF!</v>
      </c>
      <c r="O171" s="27" t="e">
        <f>VLOOKUP($M171,#REF!,3,0)</f>
        <v>#REF!</v>
      </c>
      <c r="P171" s="43" t="e">
        <f t="shared" si="10"/>
        <v>#REF!</v>
      </c>
      <c r="Q171" s="27" t="e">
        <f>VLOOKUP($M171,#REF!,2,0)</f>
        <v>#REF!</v>
      </c>
      <c r="R171" s="28" t="e">
        <f t="shared" si="8"/>
        <v>#REF!</v>
      </c>
    </row>
    <row r="172" spans="1:18" ht="17.5" thickBot="1">
      <c r="A172" s="37"/>
      <c r="B172" s="25"/>
      <c r="C172" s="62"/>
      <c r="D172" s="25"/>
      <c r="E172" s="62"/>
      <c r="F172" s="25"/>
      <c r="G172" s="30"/>
      <c r="H172" s="26"/>
      <c r="I172" s="26"/>
      <c r="J172" s="25"/>
      <c r="K172" s="26"/>
      <c r="L172" s="52" t="str">
        <f t="shared" si="9"/>
        <v>0</v>
      </c>
      <c r="M172" s="49"/>
      <c r="N172" s="50" t="e">
        <f>VLOOKUP($M172,#REF!,6,0)</f>
        <v>#REF!</v>
      </c>
      <c r="O172" s="27" t="e">
        <f>VLOOKUP($M172,#REF!,3,0)</f>
        <v>#REF!</v>
      </c>
      <c r="P172" s="43" t="e">
        <f t="shared" si="10"/>
        <v>#REF!</v>
      </c>
      <c r="Q172" s="27" t="e">
        <f>VLOOKUP($M172,#REF!,2,0)</f>
        <v>#REF!</v>
      </c>
      <c r="R172" s="28" t="e">
        <f t="shared" si="8"/>
        <v>#REF!</v>
      </c>
    </row>
    <row r="173" spans="1:18" ht="17.5" thickBot="1">
      <c r="A173" s="37"/>
      <c r="B173" s="25"/>
      <c r="C173" s="62"/>
      <c r="D173" s="25"/>
      <c r="E173" s="62"/>
      <c r="F173" s="25"/>
      <c r="G173" s="30"/>
      <c r="H173" s="26"/>
      <c r="I173" s="26"/>
      <c r="J173" s="25"/>
      <c r="K173" s="26"/>
      <c r="L173" s="52" t="str">
        <f t="shared" si="9"/>
        <v>0</v>
      </c>
      <c r="M173" s="49"/>
      <c r="N173" s="50" t="e">
        <f>VLOOKUP($M173,#REF!,6,0)</f>
        <v>#REF!</v>
      </c>
      <c r="O173" s="27" t="e">
        <f>VLOOKUP($M173,#REF!,3,0)</f>
        <v>#REF!</v>
      </c>
      <c r="P173" s="43" t="e">
        <f t="shared" si="10"/>
        <v>#REF!</v>
      </c>
      <c r="Q173" s="27" t="e">
        <f>VLOOKUP($M173,#REF!,2,0)</f>
        <v>#REF!</v>
      </c>
      <c r="R173" s="28" t="e">
        <f t="shared" ref="R173:R190" si="11">Q173=B173</f>
        <v>#REF!</v>
      </c>
    </row>
    <row r="174" spans="1:18" ht="17.5" thickBot="1">
      <c r="A174" s="37"/>
      <c r="B174" s="25"/>
      <c r="C174" s="62"/>
      <c r="D174" s="25"/>
      <c r="E174" s="62"/>
      <c r="F174" s="25"/>
      <c r="G174" s="30"/>
      <c r="H174" s="26"/>
      <c r="I174" s="26"/>
      <c r="J174" s="25"/>
      <c r="K174" s="26"/>
      <c r="L174" s="52" t="str">
        <f t="shared" si="9"/>
        <v>0</v>
      </c>
      <c r="M174" s="49"/>
      <c r="N174" s="50" t="e">
        <f>VLOOKUP($M174,#REF!,6,0)</f>
        <v>#REF!</v>
      </c>
      <c r="O174" s="27" t="e">
        <f>VLOOKUP($M174,#REF!,3,0)</f>
        <v>#REF!</v>
      </c>
      <c r="P174" s="43" t="e">
        <f t="shared" si="10"/>
        <v>#REF!</v>
      </c>
      <c r="Q174" s="27" t="e">
        <f>VLOOKUP($M174,#REF!,2,0)</f>
        <v>#REF!</v>
      </c>
      <c r="R174" s="28" t="e">
        <f t="shared" si="11"/>
        <v>#REF!</v>
      </c>
    </row>
    <row r="175" spans="1:18" ht="17.5" thickBot="1">
      <c r="A175" s="37"/>
      <c r="B175" s="25"/>
      <c r="C175" s="62"/>
      <c r="D175" s="25"/>
      <c r="E175" s="62"/>
      <c r="F175" s="25"/>
      <c r="G175" s="30"/>
      <c r="H175" s="26"/>
      <c r="I175" s="26"/>
      <c r="J175" s="25"/>
      <c r="K175" s="26"/>
      <c r="L175" s="52" t="str">
        <f t="shared" si="9"/>
        <v>0</v>
      </c>
      <c r="M175" s="49"/>
      <c r="N175" s="50" t="e">
        <f>VLOOKUP($M175,#REF!,6,0)</f>
        <v>#REF!</v>
      </c>
      <c r="O175" s="27" t="e">
        <f>VLOOKUP($M175,#REF!,3,0)</f>
        <v>#REF!</v>
      </c>
      <c r="P175" s="43" t="e">
        <f t="shared" si="10"/>
        <v>#REF!</v>
      </c>
      <c r="Q175" s="27" t="e">
        <f>VLOOKUP($M175,#REF!,2,0)</f>
        <v>#REF!</v>
      </c>
      <c r="R175" s="28" t="e">
        <f t="shared" si="11"/>
        <v>#REF!</v>
      </c>
    </row>
    <row r="176" spans="1:18" ht="17.5" thickBot="1">
      <c r="A176" s="37"/>
      <c r="B176" s="25"/>
      <c r="C176" s="62"/>
      <c r="D176" s="25"/>
      <c r="E176" s="62"/>
      <c r="F176" s="25"/>
      <c r="G176" s="30"/>
      <c r="H176" s="26"/>
      <c r="I176" s="26"/>
      <c r="J176" s="25"/>
      <c r="K176" s="26"/>
      <c r="L176" s="52" t="str">
        <f t="shared" si="9"/>
        <v>0</v>
      </c>
      <c r="M176" s="49"/>
      <c r="N176" s="50" t="e">
        <f>VLOOKUP($M176,#REF!,6,0)</f>
        <v>#REF!</v>
      </c>
      <c r="O176" s="27" t="e">
        <f>VLOOKUP($M176,#REF!,3,0)</f>
        <v>#REF!</v>
      </c>
      <c r="P176" s="43" t="e">
        <f t="shared" si="10"/>
        <v>#REF!</v>
      </c>
      <c r="Q176" s="27" t="e">
        <f>VLOOKUP($M176,#REF!,2,0)</f>
        <v>#REF!</v>
      </c>
      <c r="R176" s="28" t="e">
        <f t="shared" si="11"/>
        <v>#REF!</v>
      </c>
    </row>
    <row r="177" spans="1:18" ht="17.5" thickBot="1">
      <c r="A177" s="37"/>
      <c r="B177" s="25"/>
      <c r="C177" s="62"/>
      <c r="D177" s="25"/>
      <c r="E177" s="62"/>
      <c r="F177" s="25"/>
      <c r="G177" s="30"/>
      <c r="H177" s="26"/>
      <c r="I177" s="26"/>
      <c r="J177" s="25"/>
      <c r="K177" s="26"/>
      <c r="L177" s="52" t="str">
        <f t="shared" si="9"/>
        <v>0</v>
      </c>
      <c r="M177" s="49"/>
      <c r="N177" s="50" t="e">
        <f>VLOOKUP($M177,#REF!,6,0)</f>
        <v>#REF!</v>
      </c>
      <c r="O177" s="27" t="e">
        <f>VLOOKUP($M177,#REF!,3,0)</f>
        <v>#REF!</v>
      </c>
      <c r="P177" s="43" t="e">
        <f t="shared" si="10"/>
        <v>#REF!</v>
      </c>
      <c r="Q177" s="27" t="e">
        <f>VLOOKUP($M177,#REF!,2,0)</f>
        <v>#REF!</v>
      </c>
      <c r="R177" s="28" t="e">
        <f t="shared" si="11"/>
        <v>#REF!</v>
      </c>
    </row>
    <row r="178" spans="1:18" ht="17.5" thickBot="1">
      <c r="A178" s="37"/>
      <c r="B178" s="25"/>
      <c r="C178" s="62"/>
      <c r="D178" s="25"/>
      <c r="E178" s="62"/>
      <c r="F178" s="25"/>
      <c r="G178" s="30"/>
      <c r="H178" s="26"/>
      <c r="I178" s="26"/>
      <c r="J178" s="25"/>
      <c r="K178" s="26"/>
      <c r="L178" s="52" t="str">
        <f t="shared" si="9"/>
        <v>0</v>
      </c>
      <c r="M178" s="49"/>
      <c r="N178" s="50" t="e">
        <f>VLOOKUP($M178,#REF!,6,0)</f>
        <v>#REF!</v>
      </c>
      <c r="O178" s="27" t="e">
        <f>VLOOKUP($M178,#REF!,3,0)</f>
        <v>#REF!</v>
      </c>
      <c r="P178" s="43" t="e">
        <f t="shared" si="10"/>
        <v>#REF!</v>
      </c>
      <c r="Q178" s="27" t="e">
        <f>VLOOKUP($M178,#REF!,2,0)</f>
        <v>#REF!</v>
      </c>
      <c r="R178" s="28" t="e">
        <f t="shared" si="11"/>
        <v>#REF!</v>
      </c>
    </row>
    <row r="179" spans="1:18" ht="17.5" thickBot="1">
      <c r="A179" s="37"/>
      <c r="B179" s="25"/>
      <c r="C179" s="62"/>
      <c r="D179" s="25"/>
      <c r="E179" s="62"/>
      <c r="F179" s="25"/>
      <c r="G179" s="30"/>
      <c r="H179" s="26"/>
      <c r="I179" s="26"/>
      <c r="J179" s="25"/>
      <c r="K179" s="26"/>
      <c r="L179" s="52" t="str">
        <f t="shared" si="9"/>
        <v>0</v>
      </c>
      <c r="M179" s="49"/>
      <c r="N179" s="50" t="e">
        <f>VLOOKUP($M179,#REF!,6,0)</f>
        <v>#REF!</v>
      </c>
      <c r="O179" s="27" t="e">
        <f>VLOOKUP($M179,#REF!,3,0)</f>
        <v>#REF!</v>
      </c>
      <c r="P179" s="43" t="e">
        <f t="shared" si="10"/>
        <v>#REF!</v>
      </c>
      <c r="Q179" s="27" t="e">
        <f>VLOOKUP($M179,#REF!,2,0)</f>
        <v>#REF!</v>
      </c>
      <c r="R179" s="28" t="e">
        <f t="shared" si="11"/>
        <v>#REF!</v>
      </c>
    </row>
    <row r="180" spans="1:18" ht="17.5" thickBot="1">
      <c r="A180" s="37"/>
      <c r="B180" s="25"/>
      <c r="C180" s="62"/>
      <c r="D180" s="25"/>
      <c r="E180" s="62"/>
      <c r="F180" s="25"/>
      <c r="G180" s="30"/>
      <c r="H180" s="26"/>
      <c r="I180" s="26"/>
      <c r="J180" s="25"/>
      <c r="K180" s="26"/>
      <c r="L180" s="52" t="str">
        <f t="shared" si="9"/>
        <v>0</v>
      </c>
      <c r="M180" s="49"/>
      <c r="N180" s="50" t="e">
        <f>VLOOKUP($M180,#REF!,6,0)</f>
        <v>#REF!</v>
      </c>
      <c r="O180" s="27" t="e">
        <f>VLOOKUP($M180,#REF!,3,0)</f>
        <v>#REF!</v>
      </c>
      <c r="P180" s="43" t="e">
        <f t="shared" si="10"/>
        <v>#REF!</v>
      </c>
      <c r="Q180" s="27" t="e">
        <f>VLOOKUP($M180,#REF!,2,0)</f>
        <v>#REF!</v>
      </c>
      <c r="R180" s="28" t="e">
        <f t="shared" si="11"/>
        <v>#REF!</v>
      </c>
    </row>
    <row r="181" spans="1:18" ht="17.5" thickBot="1">
      <c r="A181" s="37"/>
      <c r="B181" s="25"/>
      <c r="C181" s="62"/>
      <c r="D181" s="25"/>
      <c r="E181" s="62"/>
      <c r="F181" s="25"/>
      <c r="G181" s="30"/>
      <c r="H181" s="26"/>
      <c r="I181" s="26"/>
      <c r="J181" s="25"/>
      <c r="K181" s="26"/>
      <c r="L181" s="52" t="str">
        <f t="shared" si="9"/>
        <v>0</v>
      </c>
      <c r="M181" s="49"/>
      <c r="N181" s="50" t="e">
        <f>VLOOKUP($M181,#REF!,6,0)</f>
        <v>#REF!</v>
      </c>
      <c r="O181" s="27" t="e">
        <f>VLOOKUP($M181,#REF!,3,0)</f>
        <v>#REF!</v>
      </c>
      <c r="P181" s="43" t="e">
        <f t="shared" si="10"/>
        <v>#REF!</v>
      </c>
      <c r="Q181" s="27" t="e">
        <f>VLOOKUP($M181,#REF!,2,0)</f>
        <v>#REF!</v>
      </c>
      <c r="R181" s="28" t="e">
        <f t="shared" si="11"/>
        <v>#REF!</v>
      </c>
    </row>
    <row r="182" spans="1:18" ht="17.5" thickBot="1">
      <c r="A182" s="37"/>
      <c r="B182" s="25"/>
      <c r="C182" s="62"/>
      <c r="D182" s="25"/>
      <c r="E182" s="62"/>
      <c r="F182" s="25"/>
      <c r="G182" s="30"/>
      <c r="H182" s="26"/>
      <c r="I182" s="26"/>
      <c r="J182" s="25"/>
      <c r="K182" s="26"/>
      <c r="L182" s="52" t="str">
        <f t="shared" si="9"/>
        <v>0</v>
      </c>
      <c r="M182" s="49"/>
      <c r="N182" s="50" t="e">
        <f>VLOOKUP($M182,#REF!,6,0)</f>
        <v>#REF!</v>
      </c>
      <c r="O182" s="27" t="e">
        <f>VLOOKUP($M182,#REF!,3,0)</f>
        <v>#REF!</v>
      </c>
      <c r="P182" s="43" t="e">
        <f t="shared" si="10"/>
        <v>#REF!</v>
      </c>
      <c r="Q182" s="27" t="e">
        <f>VLOOKUP($M182,#REF!,2,0)</f>
        <v>#REF!</v>
      </c>
      <c r="R182" s="28" t="e">
        <f t="shared" si="11"/>
        <v>#REF!</v>
      </c>
    </row>
    <row r="183" spans="1:18" ht="17.5" thickBot="1">
      <c r="A183" s="37"/>
      <c r="B183" s="25"/>
      <c r="C183" s="62"/>
      <c r="D183" s="25"/>
      <c r="E183" s="62"/>
      <c r="F183" s="25"/>
      <c r="G183" s="30"/>
      <c r="H183" s="26"/>
      <c r="I183" s="26"/>
      <c r="J183" s="25"/>
      <c r="K183" s="26"/>
      <c r="L183" s="52" t="str">
        <f t="shared" si="9"/>
        <v>0</v>
      </c>
      <c r="M183" s="49"/>
      <c r="N183" s="50" t="e">
        <f>VLOOKUP($M183,#REF!,6,0)</f>
        <v>#REF!</v>
      </c>
      <c r="O183" s="27" t="e">
        <f>VLOOKUP($M183,#REF!,3,0)</f>
        <v>#REF!</v>
      </c>
      <c r="P183" s="43" t="e">
        <f t="shared" si="10"/>
        <v>#REF!</v>
      </c>
      <c r="Q183" s="27" t="e">
        <f>VLOOKUP($M183,#REF!,2,0)</f>
        <v>#REF!</v>
      </c>
      <c r="R183" s="28" t="e">
        <f t="shared" si="11"/>
        <v>#REF!</v>
      </c>
    </row>
    <row r="184" spans="1:18" ht="17.5" thickBot="1">
      <c r="A184" s="37"/>
      <c r="B184" s="25"/>
      <c r="C184" s="62"/>
      <c r="D184" s="25"/>
      <c r="E184" s="62"/>
      <c r="F184" s="25"/>
      <c r="G184" s="30"/>
      <c r="H184" s="26"/>
      <c r="I184" s="26"/>
      <c r="J184" s="25"/>
      <c r="K184" s="26"/>
      <c r="L184" s="52" t="str">
        <f t="shared" si="9"/>
        <v>0</v>
      </c>
      <c r="M184" s="49"/>
      <c r="N184" s="50" t="e">
        <f>VLOOKUP($M184,#REF!,6,0)</f>
        <v>#REF!</v>
      </c>
      <c r="O184" s="27" t="e">
        <f>VLOOKUP($M184,#REF!,3,0)</f>
        <v>#REF!</v>
      </c>
      <c r="P184" s="43" t="e">
        <f t="shared" si="10"/>
        <v>#REF!</v>
      </c>
      <c r="Q184" s="27" t="e">
        <f>VLOOKUP($M184,#REF!,2,0)</f>
        <v>#REF!</v>
      </c>
      <c r="R184" s="28" t="e">
        <f t="shared" si="11"/>
        <v>#REF!</v>
      </c>
    </row>
    <row r="185" spans="1:18" ht="17.5" thickBot="1">
      <c r="A185" s="37"/>
      <c r="B185" s="25"/>
      <c r="C185" s="62"/>
      <c r="D185" s="25"/>
      <c r="E185" s="62"/>
      <c r="F185" s="25"/>
      <c r="G185" s="30"/>
      <c r="H185" s="26"/>
      <c r="I185" s="26"/>
      <c r="J185" s="25"/>
      <c r="K185" s="26"/>
      <c r="L185" s="52" t="str">
        <f t="shared" si="9"/>
        <v>0</v>
      </c>
      <c r="M185" s="49"/>
      <c r="N185" s="50" t="e">
        <f>VLOOKUP($M185,#REF!,6,0)</f>
        <v>#REF!</v>
      </c>
      <c r="O185" s="27" t="e">
        <f>VLOOKUP($M185,#REF!,3,0)</f>
        <v>#REF!</v>
      </c>
      <c r="P185" s="43" t="e">
        <f t="shared" si="10"/>
        <v>#REF!</v>
      </c>
      <c r="Q185" s="27" t="e">
        <f>VLOOKUP($M185,#REF!,2,0)</f>
        <v>#REF!</v>
      </c>
      <c r="R185" s="28" t="e">
        <f t="shared" si="11"/>
        <v>#REF!</v>
      </c>
    </row>
    <row r="186" spans="1:18" ht="17.5" thickBot="1">
      <c r="A186" s="37"/>
      <c r="B186" s="25"/>
      <c r="C186" s="62"/>
      <c r="D186" s="25"/>
      <c r="E186" s="62"/>
      <c r="F186" s="25"/>
      <c r="G186" s="30"/>
      <c r="H186" s="26"/>
      <c r="I186" s="26"/>
      <c r="J186" s="25"/>
      <c r="K186" s="26"/>
      <c r="L186" s="52" t="str">
        <f t="shared" si="9"/>
        <v>0</v>
      </c>
      <c r="M186" s="49"/>
      <c r="N186" s="50" t="e">
        <f>VLOOKUP($M186,#REF!,6,0)</f>
        <v>#REF!</v>
      </c>
      <c r="O186" s="27" t="e">
        <f>VLOOKUP($M186,#REF!,3,0)</f>
        <v>#REF!</v>
      </c>
      <c r="P186" s="43" t="e">
        <f t="shared" si="10"/>
        <v>#REF!</v>
      </c>
      <c r="Q186" s="27" t="e">
        <f>VLOOKUP($M186,#REF!,2,0)</f>
        <v>#REF!</v>
      </c>
      <c r="R186" s="28" t="e">
        <f t="shared" si="11"/>
        <v>#REF!</v>
      </c>
    </row>
    <row r="187" spans="1:18" ht="17.5" thickBot="1">
      <c r="A187" s="37"/>
      <c r="B187" s="25"/>
      <c r="C187" s="62"/>
      <c r="D187" s="25"/>
      <c r="E187" s="62"/>
      <c r="F187" s="25"/>
      <c r="G187" s="30"/>
      <c r="H187" s="26"/>
      <c r="I187" s="26"/>
      <c r="J187" s="25"/>
      <c r="K187" s="26"/>
      <c r="L187" s="52" t="str">
        <f t="shared" si="9"/>
        <v>0</v>
      </c>
      <c r="M187" s="49"/>
      <c r="N187" s="50" t="e">
        <f>VLOOKUP($M187,#REF!,6,0)</f>
        <v>#REF!</v>
      </c>
      <c r="O187" s="27" t="e">
        <f>VLOOKUP($M187,#REF!,3,0)</f>
        <v>#REF!</v>
      </c>
      <c r="P187" s="43" t="e">
        <f t="shared" si="10"/>
        <v>#REF!</v>
      </c>
      <c r="Q187" s="27" t="e">
        <f>VLOOKUP($M187,#REF!,2,0)</f>
        <v>#REF!</v>
      </c>
      <c r="R187" s="28" t="e">
        <f t="shared" si="11"/>
        <v>#REF!</v>
      </c>
    </row>
    <row r="188" spans="1:18" ht="17.5" thickBot="1">
      <c r="A188" s="31"/>
      <c r="B188" s="40"/>
      <c r="C188" s="62"/>
      <c r="D188" s="25"/>
      <c r="E188" s="62"/>
      <c r="F188" s="25"/>
      <c r="G188" s="30"/>
      <c r="H188" s="26"/>
      <c r="I188" s="26"/>
      <c r="J188" s="25"/>
      <c r="K188" s="26"/>
      <c r="L188" s="52" t="str">
        <f t="shared" si="9"/>
        <v>0</v>
      </c>
      <c r="M188" s="49"/>
      <c r="N188" s="50" t="e">
        <f>VLOOKUP($M188,#REF!,6,0)</f>
        <v>#REF!</v>
      </c>
      <c r="O188" s="27" t="e">
        <f>VLOOKUP($M188,#REF!,3,0)</f>
        <v>#REF!</v>
      </c>
      <c r="P188" s="43" t="e">
        <f t="shared" si="10"/>
        <v>#REF!</v>
      </c>
      <c r="Q188" s="27" t="e">
        <f>VLOOKUP($M188,#REF!,2,0)</f>
        <v>#REF!</v>
      </c>
      <c r="R188" s="28" t="e">
        <f t="shared" si="11"/>
        <v>#REF!</v>
      </c>
    </row>
    <row r="189" spans="1:18" ht="17.5" thickBot="1">
      <c r="A189" s="31"/>
      <c r="B189" s="25"/>
      <c r="C189" s="62"/>
      <c r="D189" s="25"/>
      <c r="E189" s="62"/>
      <c r="F189" s="25"/>
      <c r="G189" s="30"/>
      <c r="H189" s="26"/>
      <c r="I189" s="26"/>
      <c r="J189" s="25"/>
      <c r="K189" s="26"/>
      <c r="L189" s="52" t="str">
        <f t="shared" si="9"/>
        <v>0</v>
      </c>
      <c r="M189" s="49"/>
      <c r="N189" s="50" t="e">
        <f>VLOOKUP($M189,#REF!,6,0)</f>
        <v>#REF!</v>
      </c>
      <c r="O189" s="27" t="e">
        <f>VLOOKUP($M189,#REF!,3,0)</f>
        <v>#REF!</v>
      </c>
      <c r="P189" s="43" t="e">
        <f t="shared" si="10"/>
        <v>#REF!</v>
      </c>
      <c r="Q189" s="27" t="e">
        <f>VLOOKUP($M189,#REF!,2,0)</f>
        <v>#REF!</v>
      </c>
      <c r="R189" s="28" t="e">
        <f t="shared" si="11"/>
        <v>#REF!</v>
      </c>
    </row>
    <row r="190" spans="1:18" ht="17.5" thickBot="1">
      <c r="A190" s="31"/>
      <c r="B190" s="25"/>
      <c r="C190" s="62"/>
      <c r="D190" s="25"/>
      <c r="E190" s="62"/>
      <c r="F190" s="25"/>
      <c r="G190" s="30"/>
      <c r="H190" s="26"/>
      <c r="I190" s="26"/>
      <c r="J190" s="25"/>
      <c r="K190" s="26"/>
      <c r="L190" s="52" t="str">
        <f t="shared" si="9"/>
        <v>0</v>
      </c>
      <c r="M190" s="49"/>
      <c r="N190" s="50" t="e">
        <f>VLOOKUP($M190,#REF!,6,0)</f>
        <v>#REF!</v>
      </c>
      <c r="O190" s="27" t="e">
        <f>VLOOKUP($M190,#REF!,3,0)</f>
        <v>#REF!</v>
      </c>
      <c r="P190" s="43" t="e">
        <f t="shared" si="10"/>
        <v>#REF!</v>
      </c>
      <c r="Q190" s="27" t="e">
        <f>VLOOKUP($M190,#REF!,2,0)</f>
        <v>#REF!</v>
      </c>
      <c r="R190" s="28" t="e">
        <f t="shared" si="11"/>
        <v>#REF!</v>
      </c>
    </row>
  </sheetData>
  <mergeCells count="2">
    <mergeCell ref="O1:P1"/>
    <mergeCell ref="Q1:R1"/>
  </mergeCells>
  <phoneticPr fontId="3" type="noConversion"/>
  <conditionalFormatting sqref="C191:C1048576 C1">
    <cfRule type="duplicateValues" dxfId="25" priority="26"/>
  </conditionalFormatting>
  <conditionalFormatting sqref="C191:C1048576">
    <cfRule type="duplicateValues" dxfId="24" priority="25"/>
  </conditionalFormatting>
  <conditionalFormatting sqref="E191:E1048576 E1">
    <cfRule type="duplicateValues" dxfId="23" priority="24"/>
  </conditionalFormatting>
  <conditionalFormatting sqref="E191:E1048576">
    <cfRule type="duplicateValues" dxfId="22" priority="23"/>
  </conditionalFormatting>
  <conditionalFormatting sqref="E191:E1048576">
    <cfRule type="duplicateValues" dxfId="21" priority="22"/>
  </conditionalFormatting>
  <conditionalFormatting sqref="E191:E1048576">
    <cfRule type="duplicateValues" dxfId="20" priority="21"/>
  </conditionalFormatting>
  <conditionalFormatting sqref="E191:E1048576">
    <cfRule type="duplicateValues" dxfId="19" priority="20"/>
  </conditionalFormatting>
  <conditionalFormatting sqref="E191:E1048576">
    <cfRule type="duplicateValues" dxfId="18" priority="19"/>
  </conditionalFormatting>
  <conditionalFormatting sqref="E191:E1048576">
    <cfRule type="duplicateValues" dxfId="17" priority="17"/>
  </conditionalFormatting>
  <conditionalFormatting sqref="B191:B1048576 B1">
    <cfRule type="duplicateValues" dxfId="16" priority="16"/>
  </conditionalFormatting>
  <conditionalFormatting sqref="F191:F1048576 F1">
    <cfRule type="duplicateValues" dxfId="15" priority="13"/>
  </conditionalFormatting>
  <conditionalFormatting sqref="F191:F1048576">
    <cfRule type="duplicateValues" dxfId="14" priority="12"/>
  </conditionalFormatting>
  <conditionalFormatting sqref="F191:F1048576">
    <cfRule type="duplicateValues" dxfId="13" priority="11"/>
  </conditionalFormatting>
  <conditionalFormatting sqref="F191:F1048576">
    <cfRule type="duplicateValues" dxfId="12" priority="10"/>
  </conditionalFormatting>
  <conditionalFormatting sqref="E191:E1048576">
    <cfRule type="duplicateValues" dxfId="11" priority="9"/>
  </conditionalFormatting>
  <conditionalFormatting sqref="E191:F1048576 E1:F1">
    <cfRule type="duplicateValues" dxfId="10" priority="8"/>
  </conditionalFormatting>
  <conditionalFormatting sqref="E191:F1048576">
    <cfRule type="duplicateValues" dxfId="9" priority="7"/>
  </conditionalFormatting>
  <conditionalFormatting sqref="E191:F1048576">
    <cfRule type="duplicateValues" dxfId="8" priority="6"/>
  </conditionalFormatting>
  <conditionalFormatting sqref="E191:F1048576">
    <cfRule type="duplicateValues" dxfId="7" priority="5"/>
  </conditionalFormatting>
  <conditionalFormatting sqref="E90:E1048576 E1">
    <cfRule type="duplicateValues" dxfId="6" priority="4"/>
  </conditionalFormatting>
  <conditionalFormatting sqref="E39:E1048576 E1">
    <cfRule type="duplicateValues" dxfId="5" priority="3"/>
  </conditionalFormatting>
  <conditionalFormatting sqref="E1:E1048576">
    <cfRule type="duplicateValues" dxfId="4" priority="1"/>
    <cfRule type="duplicateValues" dxfId="3" priority="2"/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5" operator="containsText" id="{A323C11F-21F7-4FAE-9517-595E4D95BCE0}">
            <xm:f>NOT(ISERROR(SEARCH(FALSE,P1)))</xm:f>
            <xm:f>FALSE</xm:f>
            <x14:dxf>
              <font>
                <b/>
                <i val="0"/>
                <color auto="1"/>
              </font>
              <fill>
                <patternFill>
                  <bgColor rgb="FFFF0000"/>
                </patternFill>
              </fill>
            </x14:dxf>
          </x14:cfRule>
          <xm:sqref>R1:R1048576 P1:P1048576</xm:sqref>
        </x14:conditionalFormatting>
        <x14:conditionalFormatting xmlns:xm="http://schemas.microsoft.com/office/excel/2006/main">
          <x14:cfRule type="containsText" priority="43" operator="containsText" id="{19C49AD4-6C41-4E53-97B1-2B738747072D}">
            <xm:f>NOT(ISERROR(SEARCH(TRUE,G1)))</xm:f>
            <xm:f>TRUE</xm:f>
            <x14:dxf>
              <fill>
                <patternFill>
                  <bgColor rgb="FFFFC7CE"/>
                </patternFill>
              </fill>
            </x14:dxf>
          </x14:cfRule>
          <xm:sqref>G1 G191:G1048576</xm:sqref>
        </x14:conditionalFormatting>
        <x14:conditionalFormatting xmlns:xm="http://schemas.microsoft.com/office/excel/2006/main">
          <x14:cfRule type="containsText" priority="29" operator="containsText" id="{06F271F6-4D48-43B0-A89A-E91796717A06}">
            <xm:f>NOT(ISERROR(SEARCH(FALSE,P36)))</xm:f>
            <xm:f>FALSE</xm:f>
            <x14:dxf>
              <font>
                <b/>
                <i val="0"/>
                <color auto="1"/>
              </font>
              <fill>
                <patternFill>
                  <bgColor rgb="FFFF0000"/>
                </patternFill>
              </fill>
            </x14:dxf>
          </x14:cfRule>
          <xm:sqref>R36 P36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AB7C5024A9886E4B98A6FFC97B04BFD0" ma:contentTypeVersion="10" ma:contentTypeDescription="새 문서를 만듭니다." ma:contentTypeScope="" ma:versionID="fd4c8ab68d508e8f65d8ecffd21eabf4">
  <xsd:schema xmlns:xsd="http://www.w3.org/2001/XMLSchema" xmlns:xs="http://www.w3.org/2001/XMLSchema" xmlns:p="http://schemas.microsoft.com/office/2006/metadata/properties" xmlns:ns3="3c3de478-5627-4b98-9a76-c865559075d5" targetNamespace="http://schemas.microsoft.com/office/2006/metadata/properties" ma:root="true" ma:fieldsID="54f5b1231edfdb051ac7973fbafa743c" ns3:_="">
    <xsd:import namespace="3c3de478-5627-4b98-9a76-c865559075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3de478-5627-4b98-9a76-c865559075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0C0695A-4B61-4360-AEFB-5C3B48C27458}">
  <ds:schemaRefs>
    <ds:schemaRef ds:uri="http://purl.org/dc/dcmitype/"/>
    <ds:schemaRef ds:uri="http://purl.org/dc/terms/"/>
    <ds:schemaRef ds:uri="3c3de478-5627-4b98-9a76-c865559075d5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9CB6D78-2722-4425-9A78-D7BC5FB51D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28E5F7-9187-4A61-9549-D4707716F7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3de478-5627-4b98-9a76-c865559075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저장용</vt:lpstr>
      <vt:lpstr>요청</vt:lpstr>
      <vt:lpstr>저장용!Print_Area</vt:lpstr>
    </vt:vector>
  </TitlesOfParts>
  <Company>LG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EUNYOUNG PARK</dc:creator>
  <cp:lastModifiedBy>노 아_우아한청년들</cp:lastModifiedBy>
  <cp:lastPrinted>2024-08-01T05:57:11Z</cp:lastPrinted>
  <dcterms:created xsi:type="dcterms:W3CDTF">2017-01-18T00:36:32Z</dcterms:created>
  <dcterms:modified xsi:type="dcterms:W3CDTF">2024-08-01T05:58:07Z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0x010100AB7C5024A9886E4B98A6FFC97B04BFD0</vt:lpwstr>
  </property>
</Properties>
</file>